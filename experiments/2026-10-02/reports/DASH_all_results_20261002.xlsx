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nvironments" sheetId="2" state="visible" r:id="rId4"/>
    <sheet name="Replication_Summary" sheetId="3" state="visible" r:id="rId5"/>
    <sheet name="Replication_Paired" sheetId="4" state="visible" r:id="rId6"/>
    <sheet name="Decisions" sheetId="5" state="visible" r:id="rId7"/>
    <sheet name="E0_Stage2" sheetId="6" state="visible" r:id="rId8"/>
    <sheet name="Robustness_W" sheetId="7" state="visible" r:id="rId9"/>
    <sheet name="Robustness_CPU" sheetId="8" state="visible" r:id="rId10"/>
    <sheet name="Proxy_Matrix" sheetId="9" state="visible" r:id="rId11"/>
    <sheet name="Network_Calibration" sheetId="10" state="visible" r:id="rId12"/>
    <sheet name="Lua_Cost" sheetId="11" state="visible" r:id="rId13"/>
    <sheet name="Gating" sheetId="12" state="visible" r:id="rId14"/>
    <sheet name="E2_Memory" sheetId="13" state="visible" r:id="rId15"/>
    <sheet name="Lua_Correctness" sheetId="14" state="visible" r:id="rId16"/>
    <sheet name="Historical_E6" sheetId="15" state="visible" r:id="rId17"/>
    <sheet name="Limitation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<sst xmlns="http://schemas.openxmlformats.org/spreadsheetml/2006/main" count="719" uniqueCount="246">
  <si>
    <t xml:space="preserve">Item</t>
  </si>
  <si>
    <t xml:space="preserve">Description</t>
  </si>
  <si>
    <t xml:space="preserve">Purpose</t>
  </si>
  <si>
    <t xml:space="preserve">All DASH results produced on 2026-10-02 for the JSS/ICPE submission, summarised. Raw per-request rows remain in the CSV files (Excel row limit).</t>
  </si>
  <si>
    <t xml:space="preserve">Sheets</t>
  </si>
  <si>
    <t xml:space="preserve">Environments, Replication_Summary, Replication_Paired (formulas), Decisions, E0_Stage2, Robustness_W, Robustness_CPU, Proxy_Matrix, Network_Calibration, Lua_Cost, Gating, E2_Memory, Lua_Correctness, Historical_E6, Limitations</t>
  </si>
  <si>
    <t xml:space="preserve">Provenance</t>
  </si>
  <si>
    <t xml:space="preserve">cloud = rep_cloud_20261002T141735Z (2 vCPU cloud container); laptop = rep_laptop_20261002T201141Z (Intel Core 5 210H, WSL2). Robustness = robust_cloud_20261002 (cloud, single host). Proxy_Matrix/Lua_Cost/Gating = dash3_20261002T1122Z (cloud, via delay proxy, default XGBoost threading). E2/Lua correctness = dash_20261002T110902Z.</t>
  </si>
  <si>
    <t xml:space="preserve">Raw data</t>
  </si>
  <si>
    <t xml:space="preserve">dash_replication_results.csv, dash_robustness_results.csv, dash_paper_results.csv</t>
  </si>
  <si>
    <t xml:space="preserve">Time unit</t>
  </si>
  <si>
    <t xml:space="preserve">ms for latency, bytes for memory</t>
  </si>
  <si>
    <t xml:space="preserve">Statistics</t>
  </si>
  <si>
    <t xml:space="preserve">Quantiles: numpy linear (Hyndman-Fan type 7). Five repeats per condition; values are descriptive; no confidence intervals unless stated as exploratory.</t>
  </si>
  <si>
    <t xml:space="preserve">Important</t>
  </si>
  <si>
    <t xml:space="preserve">Environments are never pooled. Proxy_Matrix used a different network path and thread setting from the P0-direct replication and is not directly comparable.</t>
  </si>
  <si>
    <t xml:space="preserve">metric</t>
  </si>
  <si>
    <t xml:space="preserve">cloud</t>
  </si>
  <si>
    <t xml:space="preserve">laptop</t>
  </si>
  <si>
    <t xml:space="preserve">cpu_model</t>
  </si>
  <si>
    <t xml:space="preserve">Intel(R) Xeon(R) Processor @ 2.10GHz</t>
  </si>
  <si>
    <t xml:space="preserve">Intel(R) Core(TM) 5 210H</t>
  </si>
  <si>
    <t xml:space="preserve">host_cpu_monitor</t>
  </si>
  <si>
    <t xml:space="preserve">psutil.cpu_percent sampled every 1 s in a background thread during each engine run (small interference)</t>
  </si>
  <si>
    <t xml:space="preserve">same as cloud</t>
  </si>
  <si>
    <t xml:space="preserve">loader_stdout</t>
  </si>
  <si>
    <t xml:space="preserve">[*] Loading DASH Harness: XGBoost (Tag: H30_a2_L94) / [*] Loaded tuned thresholds: tau_conf=0.500254, tau_s2=0.386002</t>
  </si>
  <si>
    <t xml:space="preserve">model_threads</t>
  </si>
  <si>
    <t xml:space="preserve">XGBoost booster nthread readback={"s1": "1", "s2": "1"}; OMP/OPENBLAS/MKL/NUMEXPR_NUM_THREADS=1; torch.set_num_threads(1)</t>
  </si>
  <si>
    <t xml:space="preserve">numpy</t>
  </si>
  <si>
    <t xml:space="preserve">2.5.3</t>
  </si>
  <si>
    <t xml:space="preserve">2.5.3 (from uv install log)</t>
  </si>
  <si>
    <t xml:space="preserve">os</t>
  </si>
  <si>
    <t xml:space="preserve">Linux-6.18.44-fc-v51-x86_64-with-glibc2.39</t>
  </si>
  <si>
    <t xml:space="preserve">Linux-6.18.35.2-microsoft-standard-WSL2-x86_64-with-glibc2.43</t>
  </si>
  <si>
    <t xml:space="preserve">pandas</t>
  </si>
  <si>
    <t xml:space="preserve">3.0.5</t>
  </si>
  <si>
    <t xml:space="preserve">3.0.6 (from uv install log)</t>
  </si>
  <si>
    <t xml:space="preserve">python</t>
  </si>
  <si>
    <t xml:space="preserve">3.13.15</t>
  </si>
  <si>
    <t xml:space="preserve">3.13.16</t>
  </si>
  <si>
    <t xml:space="preserve">python_readme_target</t>
  </si>
  <si>
    <t xml:space="preserve">3.11 (not met; 3.13 used)</t>
  </si>
  <si>
    <t xml:space="preserve">ram_total_bytes</t>
  </si>
  <si>
    <t xml:space="preserve">8421240832.0</t>
  </si>
  <si>
    <t xml:space="preserve">8114532352.0</t>
  </si>
  <si>
    <t xml:space="preserve">redis_client</t>
  </si>
  <si>
    <t xml:space="preserve">redis-py default ConnectionPool, one connection used sequentially, socket_timeout=1.0s</t>
  </si>
  <si>
    <t xml:space="preserve">redis_location</t>
  </si>
  <si>
    <t xml:space="preserve">localhost:6379, same host, loopback TCP, direct (no proxy)</t>
  </si>
  <si>
    <t xml:space="preserve">redis_py</t>
  </si>
  <si>
    <t xml:space="preserve">8.1.0</t>
  </si>
  <si>
    <t xml:space="preserve">8.1.0 (from uv install log)</t>
  </si>
  <si>
    <t xml:space="preserve">redis_restart</t>
  </si>
  <si>
    <t xml:space="preserve">container rebooted at ~14:06Z; Redis 7.0.15 restarted with default config in an empty dir before this run (no keys, noeviction, maxmemory unset); not the original experiment Redis</t>
  </si>
  <si>
    <t xml:space="preserve">redis_server</t>
  </si>
  <si>
    <t xml:space="preserve">7.0.15</t>
  </si>
  <si>
    <t xml:space="preserve">8.0.5</t>
  </si>
  <si>
    <t xml:space="preserve">run_end_utc</t>
  </si>
  <si>
    <t xml:space="preserve">2026-10-02T14:21:02.752681Z</t>
  </si>
  <si>
    <t xml:space="preserve">2026-10-02T20:15:59.796257Z</t>
  </si>
  <si>
    <t xml:space="preserve">sha256_check</t>
  </si>
  <si>
    <t xml:space="preserve">all_match</t>
  </si>
  <si>
    <t xml:space="preserve">shared_cloud_host</t>
  </si>
  <si>
    <t xml:space="preserve">yes: ephemeral cloud container (Firecracker VM, 2 vCPU), co-tenancy unknown</t>
  </si>
  <si>
    <t xml:space="preserve">no: author laptop, Windows + WSL2 Ubuntu (Python 3.13 venv via uv); other apps closed, mains power</t>
  </si>
  <si>
    <t xml:space="preserve">sklearn</t>
  </si>
  <si>
    <t xml:space="preserve">1.6.1</t>
  </si>
  <si>
    <t xml:space="preserve">1.6.1 (from uv install log)</t>
  </si>
  <si>
    <t xml:space="preserve">torch</t>
  </si>
  <si>
    <t xml:space="preserve">2.14.1+cu130</t>
  </si>
  <si>
    <t xml:space="preserve">2.14.1+cpu (from uv install log)</t>
  </si>
  <si>
    <t xml:space="preserve">vcpu</t>
  </si>
  <si>
    <t xml:space="preserve">2.0</t>
  </si>
  <si>
    <t xml:space="preserve">12.0</t>
  </si>
  <si>
    <t xml:space="preserve">version_warnings</t>
  </si>
  <si>
    <t xml:space="preserve">[]</t>
  </si>
  <si>
    <t xml:space="preserve">xgboost</t>
  </si>
  <si>
    <t xml:space="preserve">3.4.1</t>
  </si>
  <si>
    <t xml:space="preserve">3.4.1 (from uv install log)</t>
  </si>
  <si>
    <t xml:space="preserve">env</t>
  </si>
  <si>
    <t xml:space="preserve">K</t>
  </si>
  <si>
    <t xml:space="preserve">engine</t>
  </si>
  <si>
    <t xml:space="preserve">failure_rate | max</t>
  </si>
  <si>
    <t xml:space="preserve">failure_rate | mean</t>
  </si>
  <si>
    <t xml:space="preserve">failure_rate | min</t>
  </si>
  <si>
    <t xml:space="preserve">failure_rate | sd</t>
  </si>
  <si>
    <t xml:space="preserve">host_cpu_percent_mean | max</t>
  </si>
  <si>
    <t xml:space="preserve">host_cpu_percent_mean | mean</t>
  </si>
  <si>
    <t xml:space="preserve">host_cpu_percent_mean | min</t>
  </si>
  <si>
    <t xml:space="preserve">host_cpu_percent_mean | sd</t>
  </si>
  <si>
    <t xml:space="preserve">latency_mean | max</t>
  </si>
  <si>
    <t xml:space="preserve">latency_mean | mean</t>
  </si>
  <si>
    <t xml:space="preserve">latency_mean | min</t>
  </si>
  <si>
    <t xml:space="preserve">latency_mean | sd</t>
  </si>
  <si>
    <t xml:space="preserve">latency_p50 | max</t>
  </si>
  <si>
    <t xml:space="preserve">latency_p50 | mean</t>
  </si>
  <si>
    <t xml:space="preserve">latency_p50 | min</t>
  </si>
  <si>
    <t xml:space="preserve">latency_p50 | sd</t>
  </si>
  <si>
    <t xml:space="preserve">latency_p99 | max</t>
  </si>
  <si>
    <t xml:space="preserve">latency_p99 | mean</t>
  </si>
  <si>
    <t xml:space="preserve">latency_p99 | min</t>
  </si>
  <si>
    <t xml:space="preserve">latency_p99 | sd</t>
  </si>
  <si>
    <t xml:space="preserve">A_ProposedStateful</t>
  </si>
  <si>
    <t xml:space="preserve">B1_RedisFetch</t>
  </si>
  <si>
    <t xml:space="preserve">B2_InMemoryRecompute</t>
  </si>
  <si>
    <t xml:space="preserve">repeat</t>
  </si>
  <si>
    <t xml:space="preserve">latency_p99_A</t>
  </si>
  <si>
    <t xml:space="preserve">latency_p99_B1</t>
  </si>
  <si>
    <t xml:space="preserve">latency_p50_A</t>
  </si>
  <si>
    <t xml:space="preserve">latency_p50_B1</t>
  </si>
  <si>
    <t xml:space="preserve">p99_ratio_B1_over_A</t>
  </si>
  <si>
    <t xml:space="preserve">p99_diff_B1_minus_A</t>
  </si>
  <si>
    <t xml:space="preserve">p50_ratio_B1_over_A</t>
  </si>
  <si>
    <t xml:space="preserve">Ratios/differences are formulas over the per-repeat P99/P50 values (ms) in columns D–G, measured per environment.</t>
  </si>
  <si>
    <t xml:space="preserve">value</t>
  </si>
  <si>
    <t xml:space="preserve">text_value</t>
  </si>
  <si>
    <t xml:space="preserve">status</t>
  </si>
  <si>
    <t xml:space="preserve">notes</t>
  </si>
  <si>
    <t xml:space="preserve">repeats_with_B1_over_A_gt_1</t>
  </si>
  <si>
    <t xml:space="preserve">computed</t>
  </si>
  <si>
    <t xml:space="preserve">env=cloud</t>
  </si>
  <si>
    <t xml:space="preserve">median_ratio_B1_over_A</t>
  </si>
  <si>
    <t xml:space="preserve">B2_p99_cv_noise_gate</t>
  </si>
  <si>
    <t xml:space="preserve">ok</t>
  </si>
  <si>
    <t xml:space="preserve">scope_rule_benefit_limited</t>
  </si>
  <si>
    <t xml:space="preserve">false</t>
  </si>
  <si>
    <t xml:space="preserve">not_limited</t>
  </si>
  <si>
    <t xml:space="preserve">env=laptop</t>
  </si>
  <si>
    <t xml:space="preserve">true</t>
  </si>
  <si>
    <t xml:space="preserve">limited</t>
  </si>
  <si>
    <t xml:space="preserve">cross_environment_direction_maintained</t>
  </si>
  <si>
    <t xml:space="preserve">not_maintained</t>
  </si>
  <si>
    <t xml:space="preserve">cloud=1.280;laptop=0.888</t>
  </si>
  <si>
    <t xml:space="preserve">maintained</t>
  </si>
  <si>
    <t xml:space="preserve">cloud=1.168;laptop=1.435</t>
  </si>
  <si>
    <t xml:space="preserve">model</t>
  </si>
  <si>
    <t xml:space="preserve">mismatch_count_vs_A</t>
  </si>
  <si>
    <t xml:space="preserve">stage2_fire_rate</t>
  </si>
  <si>
    <t xml:space="preserve">stage2_fired_ticks</t>
  </si>
  <si>
    <t xml:space="preserve">stage2_prediction_count_label_1</t>
  </si>
  <si>
    <t xml:space="preserve">stage2_prediction_count_label_2</t>
  </si>
  <si>
    <t xml:space="preserve">Logistic</t>
  </si>
  <si>
    <t xml:space="preserve">RandomForest</t>
  </si>
  <si>
    <t xml:space="preserve">XGBoost</t>
  </si>
  <si>
    <t xml:space="preserve">W</t>
  </si>
  <si>
    <t xml:space="preserve">p99_ratio_B1_over_A | mean</t>
  </si>
  <si>
    <t xml:space="preserve">p99_ratio_B1_over_A | sd</t>
  </si>
  <si>
    <t xml:space="preserve">state_ms_mean | mean</t>
  </si>
  <si>
    <t xml:space="preserve">state_ms_mean | sd</t>
  </si>
  <si>
    <t xml:space="preserve">B1_vs_A</t>
  </si>
  <si>
    <t xml:space="preserve">cpu</t>
  </si>
  <si>
    <t xml:space="preserve">latency_p50 | median</t>
  </si>
  <si>
    <t xml:space="preserve">latency_p99 | median</t>
  </si>
  <si>
    <t xml:space="preserve">p99_ratio_B1_over_A | max</t>
  </si>
  <si>
    <t xml:space="preserve">p99_ratio_B1_over_A | median</t>
  </si>
  <si>
    <t xml:space="preserve">p99_ratio_B1_over_A | min</t>
  </si>
  <si>
    <t xml:space="preserve">1core</t>
  </si>
  <si>
    <t xml:space="preserve">2core</t>
  </si>
  <si>
    <t xml:space="preserve">network_profile</t>
  </si>
  <si>
    <t xml:space="preserve">P0</t>
  </si>
  <si>
    <t xml:space="preserve">P1</t>
  </si>
  <si>
    <t xml:space="preserve">P2</t>
  </si>
  <si>
    <t xml:space="preserve">P3</t>
  </si>
  <si>
    <t xml:space="preserve">calibration_tag</t>
  </si>
  <si>
    <t xml:space="preserve">ping_rtt_mean</t>
  </si>
  <si>
    <t xml:space="preserve">ping_rtt_p50</t>
  </si>
  <si>
    <t xml:space="preserve">ping_rtt_p95</t>
  </si>
  <si>
    <t xml:space="preserve">ping_rtt_p99</t>
  </si>
  <si>
    <t xml:space="preserve">ping_rtt_sd</t>
  </si>
  <si>
    <t xml:space="preserve">P0_restore_after_P1</t>
  </si>
  <si>
    <t xml:space="preserve">P0_restore_after_P2</t>
  </si>
  <si>
    <t xml:space="preserve">P0_restore_after_P3</t>
  </si>
  <si>
    <t xml:space="preserve">P0_restore_after_P4</t>
  </si>
  <si>
    <t xml:space="preserve">P4</t>
  </si>
  <si>
    <t xml:space="preserve">update_method</t>
  </si>
  <si>
    <t xml:space="preserve">latency_p95 | max</t>
  </si>
  <si>
    <t xml:space="preserve">latency_p95 | mean</t>
  </si>
  <si>
    <t xml:space="preserve">latency_p95 | min</t>
  </si>
  <si>
    <t xml:space="preserve">latency_p95 | sd</t>
  </si>
  <si>
    <t xml:space="preserve">latency_sd | max</t>
  </si>
  <si>
    <t xml:space="preserve">latency_sd | mean</t>
  </si>
  <si>
    <t xml:space="preserve">latency_sd | min</t>
  </si>
  <si>
    <t xml:space="preserve">latency_sd | sd</t>
  </si>
  <si>
    <t xml:space="preserve">lua_eval</t>
  </si>
  <si>
    <t xml:space="preserve">pipeline_nontransactional</t>
  </si>
  <si>
    <t xml:space="preserve">sequential_lpush_ltrim</t>
  </si>
  <si>
    <t xml:space="preserve">policy</t>
  </si>
  <si>
    <t xml:space="preserve">latency_mean</t>
  </si>
  <si>
    <t xml:space="preserve">latency_p50</t>
  </si>
  <si>
    <t xml:space="preserve">latency_p99</t>
  </si>
  <si>
    <t xml:space="preserve">prediction_differs_rate</t>
  </si>
  <si>
    <t xml:space="preserve">force_stage2</t>
  </si>
  <si>
    <t xml:space="preserve">normal</t>
  </si>
  <si>
    <t xml:space="preserve">normal_vs_force_stage2</t>
  </si>
  <si>
    <t xml:space="preserve">N</t>
  </si>
  <si>
    <t xml:space="preserve">logical_payload_bytes</t>
  </si>
  <si>
    <t xml:space="preserve">max_over_repeats</t>
  </si>
  <si>
    <t xml:space="preserve">mean_over_repeats</t>
  </si>
  <si>
    <t xml:space="preserve">min_over_repeats</t>
  </si>
  <si>
    <t xml:space="preserve">sd_over_repeats</t>
  </si>
  <si>
    <t xml:space="preserve">provenance</t>
  </si>
  <si>
    <t xml:space="preserve">prior_run</t>
  </si>
  <si>
    <t xml:space="preserve">sequential|pipeline_nontx|lua</t>
  </si>
  <si>
    <t xml:space="preserve">len_eq_min_t_W_every_update</t>
  </si>
  <si>
    <t xml:space="preserve">pass</t>
  </si>
  <si>
    <t xml:space="preserve">newest_first_head_every_update</t>
  </si>
  <si>
    <t xml:space="preserve">final_list_identical_3_methods</t>
  </si>
  <si>
    <t xml:space="preserve">final_list_eq_expected_newest_first_bytes</t>
  </si>
  <si>
    <t xml:space="preserve">entry_payload_bytes_eq_4d</t>
  </si>
  <si>
    <t xml:space="preserve">script_re_register</t>
  </si>
  <si>
    <t xml:space="preserve">noscript_recovery</t>
  </si>
  <si>
    <t xml:space="preserve">skipped</t>
  </si>
  <si>
    <t xml:space="preserve">not run: no separate independent test server designated; SCRIPT FLUSH on this Redis not performed in this run (earlier exploratory run 636958a3b7ab did flush on the dedicated local server and recovered)</t>
  </si>
  <si>
    <t xml:space="preserve">noscript_recovery_exploratory</t>
  </si>
  <si>
    <t xml:space="preserve">pass_exploratory</t>
  </si>
  <si>
    <t xml:space="preserve">SCRIPT FLUSH run on the container-local Redis started for testing (no other users); this is the same Redis instance used for all runs, so it is not an independent test server; run2 recorded skipped</t>
  </si>
  <si>
    <t xml:space="preserve">this_run</t>
  </si>
  <si>
    <t xml:space="preserve">prior_result_reuse_criteria</t>
  </si>
  <si>
    <t xml:space="preserve">met</t>
  </si>
  <si>
    <t xml:space="preserve">W=10/30/60/120; sequential/pipeline/Lua final byte lists identical; length min(N,W) every update; newest-first; real float32 payload (24 B); NOSCRIPT: exploratory only (see row)</t>
  </si>
  <si>
    <t xml:space="preserve">source_file</t>
  </si>
  <si>
    <t xml:space="preserve">latency_k_Logistic.csv</t>
  </si>
  <si>
    <t xml:space="preserve">A_Proposed</t>
  </si>
  <si>
    <t xml:space="preserve">B2_InMemory</t>
  </si>
  <si>
    <t xml:space="preserve">latency_k_Logistic_2025_11.csv</t>
  </si>
  <si>
    <t xml:space="preserve">latency_k_RandomForest.csv</t>
  </si>
  <si>
    <t xml:space="preserve">latency_k_RandomForest_2025_11.csv</t>
  </si>
  <si>
    <t xml:space="preserve">latency_k_XGBoost.csv</t>
  </si>
  <si>
    <t xml:space="preserve">latency_k_XGBoost_2025_11.csv</t>
  </si>
  <si>
    <t xml:space="preserve">#</t>
  </si>
  <si>
    <t xml:space="preserve">Limitation</t>
  </si>
  <si>
    <t xml:space="preserve">Two environments only (cloud container + one laptop under WSL2); not a homogeneous multi-instance replication.</t>
  </si>
  <si>
    <t xml:space="preserve">Environments differ in Redis version (7.0.15 vs 8.0.5), CPU (2 vCPU Xeon vs 12-thread Core 5 210H) and virtualisation; reported separately, never pooled.</t>
  </si>
  <si>
    <t xml:space="preserve">K=1: direction NOT maintained across environments (cloud median P99 ratio 1.28, laptop 0.89); scope rule applies on the laptop: benefit limited without added network delay.</t>
  </si>
  <si>
    <t xml:space="preserve">K=100: direction maintained (cloud 1.17, laptop 1.43).</t>
  </si>
  <si>
    <t xml:space="preserve">Laptop P99 is noisy (A P99 SD 1.76 ms at K=1); noise gate passed (B2 CV 0.09 and 0.23) but K=100 is close to the 0.25 threshold.</t>
  </si>
  <si>
    <t xml:space="preserve">P50 ratios (B1/A &gt; 1 in all 20 repeats across both environments) are descriptive and were not a pre-registered decision metric.</t>
  </si>
  <si>
    <t xml:space="preserve">Closed-loop single client; K replicated streams of one symbol; no multi-client, arrival-rate, queueing or capacity claims.</t>
  </si>
  <si>
    <t xml:space="preserve">Five repeats per condition; P99 of 5,000 requests rests on ~50 observations; no dependence-aware CIs.</t>
  </si>
  <si>
    <t xml:space="preserve">Network delay results (Proxy_Matrix) used a user-space Python proxy (netem unavailable) and default XGBoost threading; synthetic, not comparable to the P0-direct runs.</t>
  </si>
  <si>
    <t xml:space="preserve">Robustness (W, CPU) results come from one host; the 1-core condition restricts only the client process.</t>
  </si>
  <si>
    <t xml:space="preserve">E0 windows were rule-selected to exercise Stage 2; their firing rates are not representative; agreement is between execution paths, not accuracy.</t>
  </si>
  <si>
    <t xml:space="preserve">Historical E6 logs (tau=0.6731, older code) are separate provenance and not comparable.</t>
  </si>
  <si>
    <t xml:space="preserve">Bounded state: fixed W,d -&gt; independent of N, logical payload 4*d*min(N,W) bytes; not W-independent.</t>
  </si>
  <si>
    <t xml:space="preserve">Python 3.13 in both environments (README target 3.11); scikit-learn 1.6.1 met.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</si>
</sst>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23.85" hidden="false" customHeight="false" outlineLevel="0" collapsed="false">
      <c r="A2" s="2" t="s">
        <v>2</v>
      </c>
      <c r="B2" s="2" t="s">
        <v>3</v>
      </c>
    </row>
    <row r="3" customFormat="false" ht="23.85" hidden="false" customHeight="false" outlineLevel="0" collapsed="false">
      <c r="A3" s="2" t="s">
        <v>4</v>
      </c>
      <c r="B3" s="2" t="s">
        <v>5</v>
      </c>
    </row>
    <row r="4" customFormat="false" ht="35.0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23.85" hidden="false" customHeight="false" outlineLevel="0" collapsed="false">
      <c r="A7" s="2" t="s">
        <v>12</v>
      </c>
      <c r="B7" s="2" t="s">
        <v>13</v>
      </c>
    </row>
    <row r="8" customFormat="false" ht="23.85" hidden="false" customHeight="false" outlineLevel="0" collapsed="false">
      <c r="A8" s="2" t="s">
        <v>14</v>
      </c>
      <c r="B8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8"/>
  </cols>
  <sheetData>
    <row r="1" customFormat="false" ht="15" hidden="false" customHeight="false" outlineLevel="0" collapsed="false">
      <c r="A1" s="1" t="s">
        <v>16</v>
      </c>
      <c r="B1" s="1" t="s">
        <v>17</v>
      </c>
      <c r="C1" s="1" t="s">
        <v>18</v>
      </c>
    </row>
    <row r="2" customFormat="false" ht="15" hidden="false" customHeight="false" outlineLevel="0" collapsed="false">
      <c r="A2" s="3" t="s">
        <v>19</v>
      </c>
      <c r="B2" s="3" t="s">
        <v>20</v>
      </c>
      <c r="C2" s="3" t="s">
        <v>21</v>
      </c>
    </row>
    <row r="3" customFormat="false" ht="15" hidden="false" customHeight="false" outlineLevel="0" collapsed="false">
      <c r="A3" s="3" t="s">
        <v>22</v>
      </c>
      <c r="B3" s="3" t="s">
        <v>23</v>
      </c>
      <c r="C3" s="3" t="s">
        <v>24</v>
      </c>
    </row>
    <row r="4" customFormat="false" ht="15" hidden="false" customHeight="false" outlineLevel="0" collapsed="false">
      <c r="A4" s="3" t="s">
        <v>25</v>
      </c>
      <c r="B4" s="3" t="s">
        <v>26</v>
      </c>
      <c r="C4" s="3" t="s">
        <v>26</v>
      </c>
    </row>
    <row r="5" customFormat="false" ht="15" hidden="false" customHeight="false" outlineLevel="0" collapsed="false">
      <c r="A5" s="3" t="s">
        <v>27</v>
      </c>
      <c r="B5" s="3" t="s">
        <v>28</v>
      </c>
      <c r="C5" s="3" t="s">
        <v>28</v>
      </c>
    </row>
    <row r="6" customFormat="false" ht="15" hidden="false" customHeight="false" outlineLevel="0" collapsed="false">
      <c r="A6" s="3" t="s">
        <v>29</v>
      </c>
      <c r="B6" s="3" t="s">
        <v>30</v>
      </c>
      <c r="C6" s="3" t="s">
        <v>31</v>
      </c>
    </row>
    <row r="7" customFormat="false" ht="15" hidden="false" customHeight="false" outlineLevel="0" collapsed="false">
      <c r="A7" s="3" t="s">
        <v>32</v>
      </c>
      <c r="B7" s="3" t="s">
        <v>33</v>
      </c>
      <c r="C7" s="3" t="s">
        <v>34</v>
      </c>
    </row>
    <row r="8" customFormat="false" ht="15" hidden="false" customHeight="false" outlineLevel="0" collapsed="false">
      <c r="A8" s="3" t="s">
        <v>35</v>
      </c>
      <c r="B8" s="3" t="s">
        <v>36</v>
      </c>
      <c r="C8" s="3" t="s">
        <v>37</v>
      </c>
    </row>
    <row r="9" customFormat="false" ht="15" hidden="false" customHeight="false" outlineLevel="0" collapsed="false">
      <c r="A9" s="3" t="s">
        <v>38</v>
      </c>
      <c r="B9" s="3" t="s">
        <v>39</v>
      </c>
      <c r="C9" s="3" t="s">
        <v>40</v>
      </c>
    </row>
    <row r="10" customFormat="false" ht="15" hidden="false" customHeight="false" outlineLevel="0" collapsed="false">
      <c r="A10" s="3" t="s">
        <v>41</v>
      </c>
      <c r="B10" s="3" t="s">
        <v>42</v>
      </c>
      <c r="C10" s="3" t="s">
        <v>42</v>
      </c>
    </row>
    <row r="11" customFormat="false" ht="15" hidden="false" customHeight="false" outlineLevel="0" collapsed="false">
      <c r="A11" s="3" t="s">
        <v>43</v>
      </c>
      <c r="B11" s="3" t="s">
        <v>44</v>
      </c>
      <c r="C11" s="3" t="s">
        <v>45</v>
      </c>
    </row>
    <row r="12" customFormat="false" ht="15" hidden="false" customHeight="false" outlineLevel="0" collapsed="false">
      <c r="A12" s="3" t="s">
        <v>46</v>
      </c>
      <c r="B12" s="3" t="s">
        <v>47</v>
      </c>
      <c r="C12" s="3" t="s">
        <v>47</v>
      </c>
    </row>
    <row r="13" customFormat="false" ht="15" hidden="false" customHeight="false" outlineLevel="0" collapsed="false">
      <c r="A13" s="3" t="s">
        <v>48</v>
      </c>
      <c r="B13" s="3" t="s">
        <v>49</v>
      </c>
      <c r="C13" s="3" t="s">
        <v>49</v>
      </c>
    </row>
    <row r="14" customFormat="false" ht="15" hidden="false" customHeight="false" outlineLevel="0" collapsed="false">
      <c r="A14" s="3" t="s">
        <v>50</v>
      </c>
      <c r="B14" s="3" t="s">
        <v>51</v>
      </c>
      <c r="C14" s="3" t="s">
        <v>52</v>
      </c>
    </row>
    <row r="15" customFormat="false" ht="15" hidden="false" customHeight="false" outlineLevel="0" collapsed="false">
      <c r="A15" s="3" t="s">
        <v>53</v>
      </c>
      <c r="B15" s="3" t="s">
        <v>54</v>
      </c>
      <c r="C15" s="3"/>
    </row>
    <row r="16" customFormat="false" ht="15" hidden="false" customHeight="false" outlineLevel="0" collapsed="false">
      <c r="A16" s="3" t="s">
        <v>55</v>
      </c>
      <c r="B16" s="3" t="s">
        <v>56</v>
      </c>
      <c r="C16" s="3" t="s">
        <v>57</v>
      </c>
    </row>
    <row r="17" customFormat="false" ht="15" hidden="false" customHeight="false" outlineLevel="0" collapsed="false">
      <c r="A17" s="3" t="s">
        <v>58</v>
      </c>
      <c r="B17" s="3" t="s">
        <v>59</v>
      </c>
      <c r="C17" s="3" t="s">
        <v>60</v>
      </c>
    </row>
    <row r="18" customFormat="false" ht="15" hidden="false" customHeight="false" outlineLevel="0" collapsed="false">
      <c r="A18" s="3" t="s">
        <v>61</v>
      </c>
      <c r="B18" s="3" t="s">
        <v>62</v>
      </c>
      <c r="C18" s="3" t="s">
        <v>62</v>
      </c>
    </row>
    <row r="19" customFormat="false" ht="15" hidden="false" customHeight="false" outlineLevel="0" collapsed="false">
      <c r="A19" s="3" t="s">
        <v>63</v>
      </c>
      <c r="B19" s="3" t="s">
        <v>64</v>
      </c>
      <c r="C19" s="3" t="s">
        <v>65</v>
      </c>
    </row>
    <row r="20" customFormat="false" ht="15" hidden="false" customHeight="false" outlineLevel="0" collapsed="false">
      <c r="A20" s="3" t="s">
        <v>66</v>
      </c>
      <c r="B20" s="3" t="s">
        <v>67</v>
      </c>
      <c r="C20" s="3" t="s">
        <v>68</v>
      </c>
    </row>
    <row r="21" customFormat="false" ht="15" hidden="false" customHeight="false" outlineLevel="0" collapsed="false">
      <c r="A21" s="3" t="s">
        <v>69</v>
      </c>
      <c r="B21" s="3" t="s">
        <v>70</v>
      </c>
      <c r="C21" s="3" t="s">
        <v>71</v>
      </c>
    </row>
    <row r="22" customFormat="false" ht="15" hidden="false" customHeight="false" outlineLevel="0" collapsed="false">
      <c r="A22" s="3" t="s">
        <v>72</v>
      </c>
      <c r="B22" s="3" t="s">
        <v>73</v>
      </c>
      <c r="C22" s="3" t="s">
        <v>74</v>
      </c>
    </row>
    <row r="23" customFormat="false" ht="15" hidden="false" customHeight="false" outlineLevel="0" collapsed="false">
      <c r="A23" s="3" t="s">
        <v>75</v>
      </c>
      <c r="B23" s="3" t="s">
        <v>76</v>
      </c>
      <c r="C23" s="3" t="s">
        <v>76</v>
      </c>
    </row>
    <row r="24" customFormat="false" ht="15" hidden="false" customHeight="false" outlineLevel="0" collapsed="false">
      <c r="A24" s="3" t="s">
        <v>77</v>
      </c>
      <c r="B24" s="3" t="s">
        <v>78</v>
      </c>
      <c r="C24" s="3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21"/>
    <col collapsed="false" customWidth="true" hidden="false" outlineLevel="0" max="6" min="6" style="0" width="20"/>
    <col collapsed="false" customWidth="true" hidden="false" outlineLevel="0" max="7" min="7" style="0" width="19"/>
    <col collapsed="false" customWidth="true" hidden="false" outlineLevel="0" max="11" min="8" style="0" width="28"/>
    <col collapsed="false" customWidth="true" hidden="false" outlineLevel="0" max="12" min="12" style="0" width="20"/>
    <col collapsed="false" customWidth="true" hidden="false" outlineLevel="0" max="13" min="13" style="0" width="21"/>
    <col collapsed="false" customWidth="true" hidden="false" outlineLevel="0" max="14" min="14" style="0" width="20"/>
    <col collapsed="false" customWidth="true" hidden="false" outlineLevel="0" max="16" min="15" style="0" width="19"/>
    <col collapsed="false" customWidth="true" hidden="false" outlineLevel="0" max="17" min="17" style="0" width="20"/>
    <col collapsed="false" customWidth="true" hidden="false" outlineLevel="0" max="18" min="18" style="0" width="19"/>
    <col collapsed="false" customWidth="true" hidden="false" outlineLevel="0" max="19" min="19" style="0" width="18"/>
    <col collapsed="false" customWidth="true" hidden="false" outlineLevel="0" max="20" min="20" style="0" width="19"/>
    <col collapsed="false" customWidth="true" hidden="false" outlineLevel="0" max="21" min="21" style="0" width="20"/>
    <col collapsed="false" customWidth="true" hidden="false" outlineLevel="0" max="22" min="22" style="0" width="19"/>
    <col collapsed="false" customWidth="true" hidden="false" outlineLevel="0" max="23" min="23" style="0" width="18"/>
  </cols>
  <sheetData>
    <row r="1" customFormat="false" ht="15" hidden="false" customHeight="false" outlineLevel="0" collapsed="false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</row>
    <row r="2" customFormat="false" ht="15" hidden="false" customHeight="false" outlineLevel="0" collapsed="false">
      <c r="A2" s="3" t="s">
        <v>17</v>
      </c>
      <c r="B2" s="3" t="n">
        <v>1</v>
      </c>
      <c r="C2" s="3" t="s">
        <v>103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47.28</v>
      </c>
      <c r="I2" s="3" t="n">
        <v>45.992</v>
      </c>
      <c r="J2" s="3" t="n">
        <v>43.74</v>
      </c>
      <c r="K2" s="3" t="n">
        <v>1.4384</v>
      </c>
      <c r="L2" s="3" t="n">
        <v>0.9008</v>
      </c>
      <c r="M2" s="3" t="n">
        <v>0.8745</v>
      </c>
      <c r="N2" s="3" t="n">
        <v>0.8184</v>
      </c>
      <c r="O2" s="3" t="n">
        <v>0.0344</v>
      </c>
      <c r="P2" s="3" t="n">
        <v>0.8604</v>
      </c>
      <c r="Q2" s="3" t="n">
        <v>0.8308</v>
      </c>
      <c r="R2" s="3" t="n">
        <v>0.7701</v>
      </c>
      <c r="S2" s="3" t="n">
        <v>0.0378</v>
      </c>
      <c r="T2" s="3" t="n">
        <v>1.9516</v>
      </c>
      <c r="U2" s="3" t="n">
        <v>1.783</v>
      </c>
      <c r="V2" s="3" t="n">
        <v>1.6078</v>
      </c>
      <c r="W2" s="3" t="n">
        <v>0.1518</v>
      </c>
    </row>
    <row r="3" customFormat="false" ht="15" hidden="false" customHeight="false" outlineLevel="0" collapsed="false">
      <c r="A3" s="3" t="s">
        <v>17</v>
      </c>
      <c r="B3" s="3" t="n">
        <v>1</v>
      </c>
      <c r="C3" s="3" t="s">
        <v>104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47.9667</v>
      </c>
      <c r="I3" s="3" t="n">
        <v>45.1938</v>
      </c>
      <c r="J3" s="3" t="n">
        <v>42.8286</v>
      </c>
      <c r="K3" s="3" t="n">
        <v>2.1101</v>
      </c>
      <c r="L3" s="3" t="n">
        <v>1.225</v>
      </c>
      <c r="M3" s="3" t="n">
        <v>1.1459</v>
      </c>
      <c r="N3" s="3" t="n">
        <v>1.0732</v>
      </c>
      <c r="O3" s="3" t="n">
        <v>0.0579</v>
      </c>
      <c r="P3" s="3" t="n">
        <v>1.1274</v>
      </c>
      <c r="Q3" s="3" t="n">
        <v>1.0739</v>
      </c>
      <c r="R3" s="3" t="n">
        <v>1.0212</v>
      </c>
      <c r="S3" s="3" t="n">
        <v>0.0393</v>
      </c>
      <c r="T3" s="3" t="n">
        <v>3.0194</v>
      </c>
      <c r="U3" s="3" t="n">
        <v>2.4218</v>
      </c>
      <c r="V3" s="3" t="n">
        <v>1.9197</v>
      </c>
      <c r="W3" s="3" t="n">
        <v>0.4221</v>
      </c>
    </row>
    <row r="4" customFormat="false" ht="15" hidden="false" customHeight="false" outlineLevel="0" collapsed="false">
      <c r="A4" s="3" t="s">
        <v>17</v>
      </c>
      <c r="B4" s="3" t="n">
        <v>1</v>
      </c>
      <c r="C4" s="3" t="s">
        <v>105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46.425</v>
      </c>
      <c r="I4" s="3" t="n">
        <v>44.775</v>
      </c>
      <c r="J4" s="3" t="n">
        <v>43.25</v>
      </c>
      <c r="K4" s="3" t="n">
        <v>1.5092</v>
      </c>
      <c r="L4" s="3" t="n">
        <v>0.698</v>
      </c>
      <c r="M4" s="3" t="n">
        <v>0.6671</v>
      </c>
      <c r="N4" s="3" t="n">
        <v>0.6389</v>
      </c>
      <c r="O4" s="3" t="n">
        <v>0.0257</v>
      </c>
      <c r="P4" s="3" t="n">
        <v>0.6618</v>
      </c>
      <c r="Q4" s="3" t="n">
        <v>0.6196</v>
      </c>
      <c r="R4" s="3" t="n">
        <v>0.5963</v>
      </c>
      <c r="S4" s="3" t="n">
        <v>0.0284</v>
      </c>
      <c r="T4" s="3" t="n">
        <v>1.3945</v>
      </c>
      <c r="U4" s="3" t="n">
        <v>1.3645</v>
      </c>
      <c r="V4" s="3" t="n">
        <v>1.3462</v>
      </c>
      <c r="W4" s="3" t="n">
        <v>0.0193</v>
      </c>
    </row>
    <row r="5" customFormat="false" ht="15" hidden="false" customHeight="false" outlineLevel="0" collapsed="false">
      <c r="A5" s="3" t="s">
        <v>17</v>
      </c>
      <c r="B5" s="3" t="n">
        <v>100</v>
      </c>
      <c r="C5" s="3" t="s">
        <v>103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48.4</v>
      </c>
      <c r="I5" s="3" t="n">
        <v>47.1925</v>
      </c>
      <c r="J5" s="3" t="n">
        <v>45.2</v>
      </c>
      <c r="K5" s="3" t="n">
        <v>1.2113</v>
      </c>
      <c r="L5" s="3" t="n">
        <v>0.9644</v>
      </c>
      <c r="M5" s="3" t="n">
        <v>0.9139</v>
      </c>
      <c r="N5" s="3" t="n">
        <v>0.8788</v>
      </c>
      <c r="O5" s="3" t="n">
        <v>0.0432</v>
      </c>
      <c r="P5" s="3" t="n">
        <v>0.904</v>
      </c>
      <c r="Q5" s="3" t="n">
        <v>0.8619</v>
      </c>
      <c r="R5" s="3" t="n">
        <v>0.8396</v>
      </c>
      <c r="S5" s="3" t="n">
        <v>0.0287</v>
      </c>
      <c r="T5" s="3" t="n">
        <v>2.1676</v>
      </c>
      <c r="U5" s="3" t="n">
        <v>1.8882</v>
      </c>
      <c r="V5" s="3" t="n">
        <v>1.7164</v>
      </c>
      <c r="W5" s="3" t="n">
        <v>0.1971</v>
      </c>
    </row>
    <row r="6" customFormat="false" ht="15" hidden="false" customHeight="false" outlineLevel="0" collapsed="false">
      <c r="A6" s="3" t="s">
        <v>17</v>
      </c>
      <c r="B6" s="3" t="n">
        <v>100</v>
      </c>
      <c r="C6" s="3" t="s">
        <v>104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48.9444</v>
      </c>
      <c r="I6" s="3" t="n">
        <v>46.0949</v>
      </c>
      <c r="J6" s="3" t="n">
        <v>44.46</v>
      </c>
      <c r="K6" s="3" t="n">
        <v>2.025</v>
      </c>
      <c r="L6" s="3" t="n">
        <v>1.1635</v>
      </c>
      <c r="M6" s="3" t="n">
        <v>1.1157</v>
      </c>
      <c r="N6" s="3" t="n">
        <v>1.0785</v>
      </c>
      <c r="O6" s="3" t="n">
        <v>0.0358</v>
      </c>
      <c r="P6" s="3" t="n">
        <v>1.1102</v>
      </c>
      <c r="Q6" s="3" t="n">
        <v>1.0684</v>
      </c>
      <c r="R6" s="3" t="n">
        <v>1.0317</v>
      </c>
      <c r="S6" s="3" t="n">
        <v>0.0333</v>
      </c>
      <c r="T6" s="3" t="n">
        <v>2.3091</v>
      </c>
      <c r="U6" s="3" t="n">
        <v>2.1573</v>
      </c>
      <c r="V6" s="3" t="n">
        <v>2.0144</v>
      </c>
      <c r="W6" s="3" t="n">
        <v>0.1254</v>
      </c>
    </row>
    <row r="7" customFormat="false" ht="15" hidden="false" customHeight="false" outlineLevel="0" collapsed="false">
      <c r="A7" s="3" t="s">
        <v>17</v>
      </c>
      <c r="B7" s="3" t="n">
        <v>100</v>
      </c>
      <c r="C7" s="3" t="s">
        <v>105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49.5167</v>
      </c>
      <c r="I7" s="3" t="n">
        <v>47.0533</v>
      </c>
      <c r="J7" s="3" t="n">
        <v>45.85</v>
      </c>
      <c r="K7" s="3" t="n">
        <v>1.4789</v>
      </c>
      <c r="L7" s="3" t="n">
        <v>0.7032</v>
      </c>
      <c r="M7" s="3" t="n">
        <v>0.6744</v>
      </c>
      <c r="N7" s="3" t="n">
        <v>0.6451</v>
      </c>
      <c r="O7" s="3" t="n">
        <v>0.021</v>
      </c>
      <c r="P7" s="3" t="n">
        <v>0.661</v>
      </c>
      <c r="Q7" s="3" t="n">
        <v>0.6287</v>
      </c>
      <c r="R7" s="3" t="n">
        <v>0.6063</v>
      </c>
      <c r="S7" s="3" t="n">
        <v>0.0202</v>
      </c>
      <c r="T7" s="3" t="n">
        <v>1.5806</v>
      </c>
      <c r="U7" s="3" t="n">
        <v>1.4798</v>
      </c>
      <c r="V7" s="3" t="n">
        <v>1.3091</v>
      </c>
      <c r="W7" s="3" t="n">
        <v>0.1066</v>
      </c>
    </row>
    <row r="8" customFormat="false" ht="15" hidden="false" customHeight="false" outlineLevel="0" collapsed="false">
      <c r="A8" s="3" t="s">
        <v>18</v>
      </c>
      <c r="B8" s="3" t="n">
        <v>1</v>
      </c>
      <c r="C8" s="3" t="s">
        <v>103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7.7</v>
      </c>
      <c r="I8" s="3" t="n">
        <v>7.4629</v>
      </c>
      <c r="J8" s="3" t="n">
        <v>7.3</v>
      </c>
      <c r="K8" s="3" t="n">
        <v>0.1504</v>
      </c>
      <c r="L8" s="3" t="n">
        <v>1.6693</v>
      </c>
      <c r="M8" s="3" t="n">
        <v>1.196</v>
      </c>
      <c r="N8" s="3" t="n">
        <v>1.0064</v>
      </c>
      <c r="O8" s="3" t="n">
        <v>0.2733</v>
      </c>
      <c r="P8" s="3" t="n">
        <v>1.1637</v>
      </c>
      <c r="Q8" s="3" t="n">
        <v>0.9748</v>
      </c>
      <c r="R8" s="3" t="n">
        <v>0.9007</v>
      </c>
      <c r="S8" s="3" t="n">
        <v>0.1072</v>
      </c>
      <c r="T8" s="3" t="n">
        <v>6.8627</v>
      </c>
      <c r="U8" s="3" t="n">
        <v>4.0741</v>
      </c>
      <c r="V8" s="3" t="n">
        <v>2.3999</v>
      </c>
      <c r="W8" s="3" t="n">
        <v>1.7601</v>
      </c>
    </row>
    <row r="9" customFormat="false" ht="15" hidden="false" customHeight="false" outlineLevel="0" collapsed="false">
      <c r="A9" s="3" t="s">
        <v>18</v>
      </c>
      <c r="B9" s="3" t="n">
        <v>1</v>
      </c>
      <c r="C9" s="3" t="s">
        <v>104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8.23</v>
      </c>
      <c r="I9" s="3" t="n">
        <v>7.6479</v>
      </c>
      <c r="J9" s="3" t="n">
        <v>7</v>
      </c>
      <c r="K9" s="3" t="n">
        <v>0.4453</v>
      </c>
      <c r="L9" s="3" t="n">
        <v>1.8769</v>
      </c>
      <c r="M9" s="3" t="n">
        <v>1.4463</v>
      </c>
      <c r="N9" s="3" t="n">
        <v>1.2471</v>
      </c>
      <c r="O9" s="3" t="n">
        <v>0.2611</v>
      </c>
      <c r="P9" s="3" t="n">
        <v>1.2669</v>
      </c>
      <c r="Q9" s="3" t="n">
        <v>1.2013</v>
      </c>
      <c r="R9" s="3" t="n">
        <v>1.1313</v>
      </c>
      <c r="S9" s="3" t="n">
        <v>0.059</v>
      </c>
      <c r="T9" s="3" t="n">
        <v>7.8892</v>
      </c>
      <c r="U9" s="3" t="n">
        <v>4.5183</v>
      </c>
      <c r="V9" s="3" t="n">
        <v>3.0339</v>
      </c>
      <c r="W9" s="3" t="n">
        <v>2.0352</v>
      </c>
    </row>
    <row r="10" customFormat="false" ht="15" hidden="false" customHeight="false" outlineLevel="0" collapsed="false">
      <c r="A10" s="3" t="s">
        <v>18</v>
      </c>
      <c r="B10" s="3" t="n">
        <v>1</v>
      </c>
      <c r="C10" s="3" t="s">
        <v>105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8.275</v>
      </c>
      <c r="I10" s="3" t="n">
        <v>7.811</v>
      </c>
      <c r="J10" s="3" t="n">
        <v>7.48</v>
      </c>
      <c r="K10" s="3" t="n">
        <v>0.2888</v>
      </c>
      <c r="L10" s="3" t="n">
        <v>0.8337</v>
      </c>
      <c r="M10" s="3" t="n">
        <v>0.7325</v>
      </c>
      <c r="N10" s="3" t="n">
        <v>0.6907</v>
      </c>
      <c r="O10" s="3" t="n">
        <v>0.0609</v>
      </c>
      <c r="P10" s="3" t="n">
        <v>0.664</v>
      </c>
      <c r="Q10" s="3" t="n">
        <v>0.6014</v>
      </c>
      <c r="R10" s="3" t="n">
        <v>0.5664</v>
      </c>
      <c r="S10" s="3" t="n">
        <v>0.0388</v>
      </c>
      <c r="T10" s="3" t="n">
        <v>2.5471</v>
      </c>
      <c r="U10" s="3" t="n">
        <v>2.3227</v>
      </c>
      <c r="V10" s="3" t="n">
        <v>2.0718</v>
      </c>
      <c r="W10" s="3" t="n">
        <v>0.2029</v>
      </c>
    </row>
    <row r="11" customFormat="false" ht="15" hidden="false" customHeight="false" outlineLevel="0" collapsed="false">
      <c r="A11" s="3" t="s">
        <v>18</v>
      </c>
      <c r="B11" s="3" t="n">
        <v>100</v>
      </c>
      <c r="C11" s="3" t="s">
        <v>103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7.9556</v>
      </c>
      <c r="I11" s="3" t="n">
        <v>7.7766</v>
      </c>
      <c r="J11" s="3" t="n">
        <v>7.3556</v>
      </c>
      <c r="K11" s="3" t="n">
        <v>0.24</v>
      </c>
      <c r="L11" s="3" t="n">
        <v>1.0636</v>
      </c>
      <c r="M11" s="3" t="n">
        <v>1.0108</v>
      </c>
      <c r="N11" s="3" t="n">
        <v>0.9251</v>
      </c>
      <c r="O11" s="3" t="n">
        <v>0.0588</v>
      </c>
      <c r="P11" s="3" t="n">
        <v>0.9653</v>
      </c>
      <c r="Q11" s="3" t="n">
        <v>0.8976</v>
      </c>
      <c r="R11" s="3" t="n">
        <v>0.8551</v>
      </c>
      <c r="S11" s="3" t="n">
        <v>0.0454</v>
      </c>
      <c r="T11" s="3" t="n">
        <v>3.5985</v>
      </c>
      <c r="U11" s="3" t="n">
        <v>2.8049</v>
      </c>
      <c r="V11" s="3" t="n">
        <v>2.0697</v>
      </c>
      <c r="W11" s="3" t="n">
        <v>0.5541</v>
      </c>
    </row>
    <row r="12" customFormat="false" ht="15" hidden="false" customHeight="false" outlineLevel="0" collapsed="false">
      <c r="A12" s="3" t="s">
        <v>18</v>
      </c>
      <c r="B12" s="3" t="n">
        <v>100</v>
      </c>
      <c r="C12" s="3" t="s">
        <v>104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8.5667</v>
      </c>
      <c r="I12" s="3" t="n">
        <v>7.9492</v>
      </c>
      <c r="J12" s="3" t="n">
        <v>7.5692</v>
      </c>
      <c r="K12" s="3" t="n">
        <v>0.3889</v>
      </c>
      <c r="L12" s="3" t="n">
        <v>1.4593</v>
      </c>
      <c r="M12" s="3" t="n">
        <v>1.4248</v>
      </c>
      <c r="N12" s="3" t="n">
        <v>1.3928</v>
      </c>
      <c r="O12" s="3" t="n">
        <v>0.0256</v>
      </c>
      <c r="P12" s="3" t="n">
        <v>1.2741</v>
      </c>
      <c r="Q12" s="3" t="n">
        <v>1.2224</v>
      </c>
      <c r="R12" s="3" t="n">
        <v>1.1346</v>
      </c>
      <c r="S12" s="3" t="n">
        <v>0.0551</v>
      </c>
      <c r="T12" s="3" t="n">
        <v>6.0853</v>
      </c>
      <c r="U12" s="3" t="n">
        <v>4.2742</v>
      </c>
      <c r="V12" s="3" t="n">
        <v>3.285</v>
      </c>
      <c r="W12" s="3" t="n">
        <v>1.0788</v>
      </c>
    </row>
    <row r="13" customFormat="false" ht="15" hidden="false" customHeight="false" outlineLevel="0" collapsed="false">
      <c r="A13" s="3" t="s">
        <v>18</v>
      </c>
      <c r="B13" s="3" t="n">
        <v>100</v>
      </c>
      <c r="C13" s="3" t="s">
        <v>105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8.2</v>
      </c>
      <c r="I13" s="3" t="n">
        <v>7.79</v>
      </c>
      <c r="J13" s="3" t="n">
        <v>7.4</v>
      </c>
      <c r="K13" s="3" t="n">
        <v>0.3533</v>
      </c>
      <c r="L13" s="3" t="n">
        <v>0.8332</v>
      </c>
      <c r="M13" s="3" t="n">
        <v>0.7471</v>
      </c>
      <c r="N13" s="3" t="n">
        <v>0.6408</v>
      </c>
      <c r="O13" s="3" t="n">
        <v>0.0824</v>
      </c>
      <c r="P13" s="3" t="n">
        <v>0.7164</v>
      </c>
      <c r="Q13" s="3" t="n">
        <v>0.6036</v>
      </c>
      <c r="R13" s="3" t="n">
        <v>0.551</v>
      </c>
      <c r="S13" s="3" t="n">
        <v>0.0649</v>
      </c>
      <c r="T13" s="3" t="n">
        <v>3.3575</v>
      </c>
      <c r="U13" s="3" t="n">
        <v>2.5819</v>
      </c>
      <c r="V13" s="3" t="n">
        <v>2.0369</v>
      </c>
      <c r="W13" s="3" t="n">
        <v>0.6047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0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10" min="8" style="0" width="21"/>
  </cols>
  <sheetData>
    <row r="1" customFormat="false" ht="15" hidden="false" customHeight="false" outlineLevel="0" collapsed="false">
      <c r="A1" s="1" t="s">
        <v>80</v>
      </c>
      <c r="B1" s="1" t="s">
        <v>81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</row>
    <row r="2" customFormat="false" ht="15" hidden="false" customHeight="false" outlineLevel="0" collapsed="false">
      <c r="A2" s="3" t="s">
        <v>17</v>
      </c>
      <c r="B2" s="3" t="n">
        <v>1</v>
      </c>
      <c r="C2" s="3" t="n">
        <v>0</v>
      </c>
      <c r="D2" s="3" t="n">
        <v>1.9304</v>
      </c>
      <c r="E2" s="3" t="n">
        <v>3.0194</v>
      </c>
      <c r="F2" s="3" t="n">
        <v>0.8604</v>
      </c>
      <c r="G2" s="3" t="n">
        <v>1.1274</v>
      </c>
      <c r="H2" s="4" t="n">
        <f aca="false">E2/D2</f>
        <v>1.56413178615831</v>
      </c>
      <c r="I2" s="4" t="n">
        <f aca="false">E2-D2</f>
        <v>1.089</v>
      </c>
      <c r="J2" s="4" t="n">
        <f aca="false">G2/F2</f>
        <v>1.31032078103208</v>
      </c>
    </row>
    <row r="3" customFormat="false" ht="15" hidden="false" customHeight="false" outlineLevel="0" collapsed="false">
      <c r="A3" s="3" t="s">
        <v>17</v>
      </c>
      <c r="B3" s="3" t="n">
        <v>1</v>
      </c>
      <c r="C3" s="3" t="n">
        <v>1</v>
      </c>
      <c r="D3" s="3" t="n">
        <v>1.9516</v>
      </c>
      <c r="E3" s="3" t="n">
        <v>2.4072</v>
      </c>
      <c r="F3" s="3" t="n">
        <v>0.8434</v>
      </c>
      <c r="G3" s="3" t="n">
        <v>1.0577</v>
      </c>
      <c r="H3" s="4" t="n">
        <f aca="false">E3/D3</f>
        <v>1.23344947735192</v>
      </c>
      <c r="I3" s="4" t="n">
        <f aca="false">E3-D3</f>
        <v>0.4556</v>
      </c>
      <c r="J3" s="4" t="n">
        <f aca="false">G3/F3</f>
        <v>1.25409058572445</v>
      </c>
    </row>
    <row r="4" customFormat="false" ht="15" hidden="false" customHeight="false" outlineLevel="0" collapsed="false">
      <c r="A4" s="3" t="s">
        <v>17</v>
      </c>
      <c r="B4" s="3" t="n">
        <v>1</v>
      </c>
      <c r="C4" s="3" t="n">
        <v>2</v>
      </c>
      <c r="D4" s="3" t="n">
        <v>1.7397</v>
      </c>
      <c r="E4" s="3" t="n">
        <v>2.6047</v>
      </c>
      <c r="F4" s="3" t="n">
        <v>0.8604</v>
      </c>
      <c r="G4" s="3" t="n">
        <v>1.091</v>
      </c>
      <c r="H4" s="4" t="n">
        <f aca="false">E4/D4</f>
        <v>1.49721216301661</v>
      </c>
      <c r="I4" s="4" t="n">
        <f aca="false">E4-D4</f>
        <v>0.865</v>
      </c>
      <c r="J4" s="4" t="n">
        <f aca="false">G4/F4</f>
        <v>1.26801487680149</v>
      </c>
    </row>
    <row r="5" customFormat="false" ht="15" hidden="false" customHeight="false" outlineLevel="0" collapsed="false">
      <c r="A5" s="3" t="s">
        <v>17</v>
      </c>
      <c r="B5" s="3" t="n">
        <v>1</v>
      </c>
      <c r="C5" s="3" t="n">
        <v>3</v>
      </c>
      <c r="D5" s="3" t="n">
        <v>1.6856</v>
      </c>
      <c r="E5" s="3" t="n">
        <v>2.1578</v>
      </c>
      <c r="F5" s="3" t="n">
        <v>0.82</v>
      </c>
      <c r="G5" s="3" t="n">
        <v>1.072</v>
      </c>
      <c r="H5" s="4" t="n">
        <f aca="false">E5/D5</f>
        <v>1.28013763644993</v>
      </c>
      <c r="I5" s="4" t="n">
        <f aca="false">E5-D5</f>
        <v>0.4722</v>
      </c>
      <c r="J5" s="4" t="n">
        <f aca="false">G5/F5</f>
        <v>1.30731707317073</v>
      </c>
    </row>
    <row r="6" customFormat="false" ht="15" hidden="false" customHeight="false" outlineLevel="0" collapsed="false">
      <c r="A6" s="3" t="s">
        <v>17</v>
      </c>
      <c r="B6" s="3" t="n">
        <v>1</v>
      </c>
      <c r="C6" s="3" t="n">
        <v>4</v>
      </c>
      <c r="D6" s="3" t="n">
        <v>1.6078</v>
      </c>
      <c r="E6" s="3" t="n">
        <v>1.9197</v>
      </c>
      <c r="F6" s="3" t="n">
        <v>0.7701</v>
      </c>
      <c r="G6" s="3" t="n">
        <v>1.0212</v>
      </c>
      <c r="H6" s="4" t="n">
        <f aca="false">E6/D6</f>
        <v>1.19399179002363</v>
      </c>
      <c r="I6" s="4" t="n">
        <f aca="false">E6-D6</f>
        <v>0.3119</v>
      </c>
      <c r="J6" s="4" t="n">
        <f aca="false">G6/F6</f>
        <v>1.32606155044799</v>
      </c>
    </row>
    <row r="7" customFormat="false" ht="15" hidden="false" customHeight="false" outlineLevel="0" collapsed="false">
      <c r="A7" s="3" t="s">
        <v>17</v>
      </c>
      <c r="B7" s="3" t="n">
        <v>100</v>
      </c>
      <c r="C7" s="3" t="n">
        <v>0</v>
      </c>
      <c r="D7" s="3" t="n">
        <v>1.8186</v>
      </c>
      <c r="E7" s="3" t="n">
        <v>2.2563</v>
      </c>
      <c r="F7" s="3" t="n">
        <v>0.8409</v>
      </c>
      <c r="G7" s="3" t="n">
        <v>1.0884</v>
      </c>
      <c r="H7" s="4" t="n">
        <f aca="false">E7/D7</f>
        <v>1.24067964368195</v>
      </c>
      <c r="I7" s="4" t="n">
        <f aca="false">E7-D7</f>
        <v>0.4377</v>
      </c>
      <c r="J7" s="4" t="n">
        <f aca="false">G7/F7</f>
        <v>1.29432750624331</v>
      </c>
    </row>
    <row r="8" customFormat="false" ht="15" hidden="false" customHeight="false" outlineLevel="0" collapsed="false">
      <c r="A8" s="3" t="s">
        <v>17</v>
      </c>
      <c r="B8" s="3" t="n">
        <v>100</v>
      </c>
      <c r="C8" s="3" t="n">
        <v>1</v>
      </c>
      <c r="D8" s="3" t="n">
        <v>1.7239</v>
      </c>
      <c r="E8" s="3" t="n">
        <v>2.0144</v>
      </c>
      <c r="F8" s="3" t="n">
        <v>0.8455</v>
      </c>
      <c r="G8" s="3" t="n">
        <v>1.0381</v>
      </c>
      <c r="H8" s="4" t="n">
        <f aca="false">E8/D8</f>
        <v>1.16851325482917</v>
      </c>
      <c r="I8" s="4" t="n">
        <f aca="false">E8-D8</f>
        <v>0.2905</v>
      </c>
      <c r="J8" s="4" t="n">
        <f aca="false">G8/F8</f>
        <v>1.22779420461266</v>
      </c>
    </row>
    <row r="9" customFormat="false" ht="15" hidden="false" customHeight="false" outlineLevel="0" collapsed="false">
      <c r="A9" s="3" t="s">
        <v>17</v>
      </c>
      <c r="B9" s="3" t="n">
        <v>100</v>
      </c>
      <c r="C9" s="3" t="n">
        <v>2</v>
      </c>
      <c r="D9" s="3" t="n">
        <v>1.7164</v>
      </c>
      <c r="E9" s="3" t="n">
        <v>2.1468</v>
      </c>
      <c r="F9" s="3" t="n">
        <v>0.8396</v>
      </c>
      <c r="G9" s="3" t="n">
        <v>1.0736</v>
      </c>
      <c r="H9" s="4" t="n">
        <f aca="false">E9/D9</f>
        <v>1.25075739920764</v>
      </c>
      <c r="I9" s="4" t="n">
        <f aca="false">E9-D9</f>
        <v>0.4304</v>
      </c>
      <c r="J9" s="4" t="n">
        <f aca="false">G9/F9</f>
        <v>1.27870414483087</v>
      </c>
    </row>
    <row r="10" customFormat="false" ht="15" hidden="false" customHeight="false" outlineLevel="0" collapsed="false">
      <c r="A10" s="3" t="s">
        <v>17</v>
      </c>
      <c r="B10" s="3" t="n">
        <v>100</v>
      </c>
      <c r="C10" s="3" t="n">
        <v>3</v>
      </c>
      <c r="D10" s="3" t="n">
        <v>2.0144</v>
      </c>
      <c r="E10" s="3" t="n">
        <v>2.3091</v>
      </c>
      <c r="F10" s="3" t="n">
        <v>0.904</v>
      </c>
      <c r="G10" s="3" t="n">
        <v>1.1102</v>
      </c>
      <c r="H10" s="4" t="n">
        <f aca="false">E10/D10</f>
        <v>1.14629666401906</v>
      </c>
      <c r="I10" s="4" t="n">
        <f aca="false">E10-D10</f>
        <v>0.2947</v>
      </c>
      <c r="J10" s="4" t="n">
        <f aca="false">G10/F10</f>
        <v>1.22809734513274</v>
      </c>
    </row>
    <row r="11" customFormat="false" ht="15" hidden="false" customHeight="false" outlineLevel="0" collapsed="false">
      <c r="A11" s="3" t="s">
        <v>17</v>
      </c>
      <c r="B11" s="3" t="n">
        <v>100</v>
      </c>
      <c r="C11" s="3" t="n">
        <v>4</v>
      </c>
      <c r="D11" s="3" t="n">
        <v>2.1676</v>
      </c>
      <c r="E11" s="3" t="n">
        <v>2.0597</v>
      </c>
      <c r="F11" s="3" t="n">
        <v>0.8797</v>
      </c>
      <c r="G11" s="3" t="n">
        <v>1.0317</v>
      </c>
      <c r="H11" s="4" t="n">
        <f aca="false">E11/D11</f>
        <v>0.950221443070677</v>
      </c>
      <c r="I11" s="4" t="n">
        <f aca="false">E11-D11</f>
        <v>-0.1079</v>
      </c>
      <c r="J11" s="4" t="n">
        <f aca="false">G11/F11</f>
        <v>1.17278617710583</v>
      </c>
    </row>
    <row r="12" customFormat="false" ht="15" hidden="false" customHeight="false" outlineLevel="0" collapsed="false">
      <c r="A12" s="3" t="s">
        <v>18</v>
      </c>
      <c r="B12" s="3" t="n">
        <v>1</v>
      </c>
      <c r="C12" s="3" t="n">
        <v>0</v>
      </c>
      <c r="D12" s="3" t="n">
        <v>6.8627</v>
      </c>
      <c r="E12" s="3" t="n">
        <v>4.9892</v>
      </c>
      <c r="F12" s="3" t="n">
        <v>1.1637</v>
      </c>
      <c r="G12" s="3" t="n">
        <v>1.2578</v>
      </c>
      <c r="H12" s="4" t="n">
        <f aca="false">E12/D12</f>
        <v>0.72700249173066</v>
      </c>
      <c r="I12" s="4" t="n">
        <f aca="false">E12-D12</f>
        <v>-1.8735</v>
      </c>
      <c r="J12" s="4" t="n">
        <f aca="false">G12/F12</f>
        <v>1.08086276531752</v>
      </c>
    </row>
    <row r="13" customFormat="false" ht="15" hidden="false" customHeight="false" outlineLevel="0" collapsed="false">
      <c r="A13" s="3" t="s">
        <v>18</v>
      </c>
      <c r="B13" s="3" t="n">
        <v>1</v>
      </c>
      <c r="C13" s="3" t="n">
        <v>1</v>
      </c>
      <c r="D13" s="3" t="n">
        <v>2.8558</v>
      </c>
      <c r="E13" s="3" t="n">
        <v>7.8892</v>
      </c>
      <c r="F13" s="3" t="n">
        <v>0.9462</v>
      </c>
      <c r="G13" s="3" t="n">
        <v>1.2669</v>
      </c>
      <c r="H13" s="4" t="n">
        <f aca="false">E13/D13</f>
        <v>2.76251838364031</v>
      </c>
      <c r="I13" s="4" t="n">
        <f aca="false">E13-D13</f>
        <v>5.0334</v>
      </c>
      <c r="J13" s="4" t="n">
        <f aca="false">G13/F13</f>
        <v>1.33893468611287</v>
      </c>
    </row>
    <row r="14" customFormat="false" ht="15" hidden="false" customHeight="false" outlineLevel="0" collapsed="false">
      <c r="A14" s="3" t="s">
        <v>18</v>
      </c>
      <c r="B14" s="3" t="n">
        <v>1</v>
      </c>
      <c r="C14" s="3" t="n">
        <v>2</v>
      </c>
      <c r="D14" s="3" t="n">
        <v>3.7239</v>
      </c>
      <c r="E14" s="3" t="n">
        <v>3.3077</v>
      </c>
      <c r="F14" s="3" t="n">
        <v>0.9007</v>
      </c>
      <c r="G14" s="3" t="n">
        <v>1.1313</v>
      </c>
      <c r="H14" s="4" t="n">
        <f aca="false">E14/D14</f>
        <v>0.888235452079809</v>
      </c>
      <c r="I14" s="4" t="n">
        <f aca="false">E14-D14</f>
        <v>-0.4162</v>
      </c>
      <c r="J14" s="4" t="n">
        <f aca="false">G14/F14</f>
        <v>1.25602309314977</v>
      </c>
    </row>
    <row r="15" customFormat="false" ht="15" hidden="false" customHeight="false" outlineLevel="0" collapsed="false">
      <c r="A15" s="3" t="s">
        <v>18</v>
      </c>
      <c r="B15" s="3" t="n">
        <v>1</v>
      </c>
      <c r="C15" s="3" t="n">
        <v>3</v>
      </c>
      <c r="D15" s="3" t="n">
        <v>4.5283</v>
      </c>
      <c r="E15" s="3" t="n">
        <v>3.3717</v>
      </c>
      <c r="F15" s="3" t="n">
        <v>0.9427</v>
      </c>
      <c r="G15" s="3" t="n">
        <v>1.1845</v>
      </c>
      <c r="H15" s="4" t="n">
        <f aca="false">E15/D15</f>
        <v>0.744584060243359</v>
      </c>
      <c r="I15" s="4" t="n">
        <f aca="false">E15-D15</f>
        <v>-1.1566</v>
      </c>
      <c r="J15" s="4" t="n">
        <f aca="false">G15/F15</f>
        <v>1.25649729500371</v>
      </c>
    </row>
    <row r="16" customFormat="false" ht="15" hidden="false" customHeight="false" outlineLevel="0" collapsed="false">
      <c r="A16" s="3" t="s">
        <v>18</v>
      </c>
      <c r="B16" s="3" t="n">
        <v>1</v>
      </c>
      <c r="C16" s="3" t="n">
        <v>4</v>
      </c>
      <c r="D16" s="3" t="n">
        <v>2.3999</v>
      </c>
      <c r="E16" s="3" t="n">
        <v>3.0339</v>
      </c>
      <c r="F16" s="3" t="n">
        <v>0.9205</v>
      </c>
      <c r="G16" s="3" t="n">
        <v>1.1662</v>
      </c>
      <c r="H16" s="4" t="n">
        <f aca="false">E16/D16</f>
        <v>1.26417767406975</v>
      </c>
      <c r="I16" s="4" t="n">
        <f aca="false">E16-D16</f>
        <v>0.634</v>
      </c>
      <c r="J16" s="4" t="n">
        <f aca="false">G16/F16</f>
        <v>1.26692015209125</v>
      </c>
    </row>
    <row r="17" customFormat="false" ht="15" hidden="false" customHeight="false" outlineLevel="0" collapsed="false">
      <c r="A17" s="3" t="s">
        <v>18</v>
      </c>
      <c r="B17" s="3" t="n">
        <v>100</v>
      </c>
      <c r="C17" s="3" t="n">
        <v>0</v>
      </c>
      <c r="D17" s="3" t="n">
        <v>2.9691</v>
      </c>
      <c r="E17" s="3" t="n">
        <v>4.2597</v>
      </c>
      <c r="F17" s="3" t="n">
        <v>0.9219</v>
      </c>
      <c r="G17" s="3" t="n">
        <v>1.205</v>
      </c>
      <c r="H17" s="4" t="n">
        <f aca="false">E17/D17</f>
        <v>1.43467717490149</v>
      </c>
      <c r="I17" s="4" t="n">
        <f aca="false">E17-D17</f>
        <v>1.2906</v>
      </c>
      <c r="J17" s="4" t="n">
        <f aca="false">G17/F17</f>
        <v>1.30708319774379</v>
      </c>
    </row>
    <row r="18" customFormat="false" ht="15" hidden="false" customHeight="false" outlineLevel="0" collapsed="false">
      <c r="A18" s="3" t="s">
        <v>18</v>
      </c>
      <c r="B18" s="3" t="n">
        <v>100</v>
      </c>
      <c r="C18" s="3" t="n">
        <v>1</v>
      </c>
      <c r="D18" s="3" t="n">
        <v>2.639</v>
      </c>
      <c r="E18" s="3" t="n">
        <v>6.0853</v>
      </c>
      <c r="F18" s="3" t="n">
        <v>0.9653</v>
      </c>
      <c r="G18" s="3" t="n">
        <v>1.1346</v>
      </c>
      <c r="H18" s="4" t="n">
        <f aca="false">E18/D18</f>
        <v>2.30591133004926</v>
      </c>
      <c r="I18" s="4" t="n">
        <f aca="false">E18-D18</f>
        <v>3.4463</v>
      </c>
      <c r="J18" s="4" t="n">
        <f aca="false">G18/F18</f>
        <v>1.17538589039677</v>
      </c>
    </row>
    <row r="19" customFormat="false" ht="15" hidden="false" customHeight="false" outlineLevel="0" collapsed="false">
      <c r="A19" s="3" t="s">
        <v>18</v>
      </c>
      <c r="B19" s="3" t="n">
        <v>100</v>
      </c>
      <c r="C19" s="3" t="n">
        <v>2</v>
      </c>
      <c r="D19" s="3" t="n">
        <v>3.5985</v>
      </c>
      <c r="E19" s="3" t="n">
        <v>3.285</v>
      </c>
      <c r="F19" s="3" t="n">
        <v>0.8693</v>
      </c>
      <c r="G19" s="3" t="n">
        <v>1.2741</v>
      </c>
      <c r="H19" s="4" t="n">
        <f aca="false">E19/D19</f>
        <v>0.912880366819508</v>
      </c>
      <c r="I19" s="4" t="n">
        <f aca="false">E19-D19</f>
        <v>-0.3135</v>
      </c>
      <c r="J19" s="4" t="n">
        <f aca="false">G19/F19</f>
        <v>1.46566202691821</v>
      </c>
    </row>
    <row r="20" customFormat="false" ht="15" hidden="false" customHeight="false" outlineLevel="0" collapsed="false">
      <c r="A20" s="3" t="s">
        <v>18</v>
      </c>
      <c r="B20" s="3" t="n">
        <v>100</v>
      </c>
      <c r="C20" s="3" t="n">
        <v>3</v>
      </c>
      <c r="D20" s="3" t="n">
        <v>2.7484</v>
      </c>
      <c r="E20" s="3" t="n">
        <v>3.6826</v>
      </c>
      <c r="F20" s="3" t="n">
        <v>0.8766</v>
      </c>
      <c r="G20" s="3" t="n">
        <v>1.254</v>
      </c>
      <c r="H20" s="4" t="n">
        <f aca="false">E20/D20</f>
        <v>1.33990685489739</v>
      </c>
      <c r="I20" s="4" t="n">
        <f aca="false">E20-D20</f>
        <v>0.9342</v>
      </c>
      <c r="J20" s="4" t="n">
        <f aca="false">G20/F20</f>
        <v>1.43052703627652</v>
      </c>
    </row>
    <row r="21" customFormat="false" ht="15" hidden="false" customHeight="false" outlineLevel="0" collapsed="false">
      <c r="A21" s="3" t="s">
        <v>18</v>
      </c>
      <c r="B21" s="3" t="n">
        <v>100</v>
      </c>
      <c r="C21" s="3" t="n">
        <v>4</v>
      </c>
      <c r="D21" s="3" t="n">
        <v>2.0697</v>
      </c>
      <c r="E21" s="3" t="n">
        <v>4.0585</v>
      </c>
      <c r="F21" s="3" t="n">
        <v>0.8551</v>
      </c>
      <c r="G21" s="3" t="n">
        <v>1.2441</v>
      </c>
      <c r="H21" s="4" t="n">
        <f aca="false">E21/D21</f>
        <v>1.96091220949896</v>
      </c>
      <c r="I21" s="4" t="n">
        <f aca="false">E21-D21</f>
        <v>1.9888</v>
      </c>
      <c r="J21" s="4" t="n">
        <f aca="false">G21/F21</f>
        <v>1.45491755350251</v>
      </c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customFormat="false" ht="15" hidden="false" customHeight="false" outlineLevel="0" collapsed="false">
      <c r="A23" s="3" t="s">
        <v>114</v>
      </c>
      <c r="B23" s="3"/>
      <c r="C23" s="3"/>
      <c r="D23" s="3"/>
      <c r="E23" s="3"/>
      <c r="F23" s="3"/>
      <c r="G23" s="3"/>
      <c r="H23" s="3"/>
      <c r="I23" s="3"/>
      <c r="J2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40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1" t="s">
        <v>80</v>
      </c>
      <c r="B1" s="1" t="s">
        <v>81</v>
      </c>
      <c r="C1" s="1" t="s">
        <v>16</v>
      </c>
      <c r="D1" s="1" t="s">
        <v>115</v>
      </c>
      <c r="E1" s="1" t="s">
        <v>116</v>
      </c>
      <c r="F1" s="1" t="s">
        <v>117</v>
      </c>
      <c r="G1" s="1" t="s">
        <v>118</v>
      </c>
    </row>
    <row r="2" customFormat="false" ht="15" hidden="false" customHeight="false" outlineLevel="0" collapsed="false">
      <c r="A2" s="3" t="s">
        <v>17</v>
      </c>
      <c r="B2" s="3" t="n">
        <v>1</v>
      </c>
      <c r="C2" s="3" t="s">
        <v>119</v>
      </c>
      <c r="D2" s="3" t="n">
        <v>5</v>
      </c>
      <c r="E2" s="3"/>
      <c r="F2" s="3" t="s">
        <v>120</v>
      </c>
      <c r="G2" s="3" t="s">
        <v>121</v>
      </c>
    </row>
    <row r="3" customFormat="false" ht="15" hidden="false" customHeight="false" outlineLevel="0" collapsed="false">
      <c r="A3" s="3" t="s">
        <v>17</v>
      </c>
      <c r="B3" s="3" t="n">
        <v>1</v>
      </c>
      <c r="C3" s="3" t="s">
        <v>122</v>
      </c>
      <c r="D3" s="3" t="n">
        <v>1.2801828987158</v>
      </c>
      <c r="E3" s="3"/>
      <c r="F3" s="3" t="s">
        <v>120</v>
      </c>
      <c r="G3" s="3" t="s">
        <v>121</v>
      </c>
    </row>
    <row r="4" customFormat="false" ht="15" hidden="false" customHeight="false" outlineLevel="0" collapsed="false">
      <c r="A4" s="3" t="s">
        <v>17</v>
      </c>
      <c r="B4" s="3" t="n">
        <v>1</v>
      </c>
      <c r="C4" s="3" t="s">
        <v>123</v>
      </c>
      <c r="D4" s="3" t="n">
        <v>0.0141637481983957</v>
      </c>
      <c r="E4" s="3"/>
      <c r="F4" s="3" t="s">
        <v>124</v>
      </c>
      <c r="G4" s="3" t="s">
        <v>121</v>
      </c>
    </row>
    <row r="5" customFormat="false" ht="15" hidden="false" customHeight="false" outlineLevel="0" collapsed="false">
      <c r="A5" s="3" t="s">
        <v>17</v>
      </c>
      <c r="B5" s="3" t="n">
        <v>1</v>
      </c>
      <c r="C5" s="3" t="s">
        <v>125</v>
      </c>
      <c r="D5" s="3"/>
      <c r="E5" s="3" t="s">
        <v>126</v>
      </c>
      <c r="F5" s="3" t="s">
        <v>127</v>
      </c>
      <c r="G5" s="3" t="s">
        <v>121</v>
      </c>
    </row>
    <row r="6" customFormat="false" ht="15" hidden="false" customHeight="false" outlineLevel="0" collapsed="false">
      <c r="A6" s="3" t="s">
        <v>17</v>
      </c>
      <c r="B6" s="3" t="n">
        <v>100</v>
      </c>
      <c r="C6" s="3" t="s">
        <v>119</v>
      </c>
      <c r="D6" s="3" t="n">
        <v>4</v>
      </c>
      <c r="E6" s="3"/>
      <c r="F6" s="3" t="s">
        <v>120</v>
      </c>
      <c r="G6" s="3" t="s">
        <v>121</v>
      </c>
    </row>
    <row r="7" customFormat="false" ht="15" hidden="false" customHeight="false" outlineLevel="0" collapsed="false">
      <c r="A7" s="3" t="s">
        <v>17</v>
      </c>
      <c r="B7" s="3" t="n">
        <v>100</v>
      </c>
      <c r="C7" s="3" t="s">
        <v>122</v>
      </c>
      <c r="D7" s="3" t="n">
        <v>1.16848620539219</v>
      </c>
      <c r="E7" s="3"/>
      <c r="F7" s="3" t="s">
        <v>120</v>
      </c>
      <c r="G7" s="3" t="s">
        <v>121</v>
      </c>
    </row>
    <row r="8" customFormat="false" ht="15" hidden="false" customHeight="false" outlineLevel="0" collapsed="false">
      <c r="A8" s="3" t="s">
        <v>17</v>
      </c>
      <c r="B8" s="3" t="n">
        <v>100</v>
      </c>
      <c r="C8" s="3" t="s">
        <v>123</v>
      </c>
      <c r="D8" s="3" t="n">
        <v>0.072036807017777</v>
      </c>
      <c r="E8" s="3"/>
      <c r="F8" s="3" t="s">
        <v>124</v>
      </c>
      <c r="G8" s="3" t="s">
        <v>121</v>
      </c>
    </row>
    <row r="9" customFormat="false" ht="15" hidden="false" customHeight="false" outlineLevel="0" collapsed="false">
      <c r="A9" s="3" t="s">
        <v>17</v>
      </c>
      <c r="B9" s="3" t="n">
        <v>100</v>
      </c>
      <c r="C9" s="3" t="s">
        <v>125</v>
      </c>
      <c r="D9" s="3"/>
      <c r="E9" s="3" t="s">
        <v>126</v>
      </c>
      <c r="F9" s="3" t="s">
        <v>127</v>
      </c>
      <c r="G9" s="3" t="s">
        <v>121</v>
      </c>
    </row>
    <row r="10" customFormat="false" ht="15" hidden="false" customHeight="false" outlineLevel="0" collapsed="false">
      <c r="A10" s="3" t="s">
        <v>18</v>
      </c>
      <c r="B10" s="3" t="n">
        <v>1</v>
      </c>
      <c r="C10" s="3" t="s">
        <v>119</v>
      </c>
      <c r="D10" s="3" t="n">
        <v>2</v>
      </c>
      <c r="E10" s="3"/>
      <c r="F10" s="3" t="s">
        <v>120</v>
      </c>
      <c r="G10" s="3" t="s">
        <v>128</v>
      </c>
    </row>
    <row r="11" customFormat="false" ht="15" hidden="false" customHeight="false" outlineLevel="0" collapsed="false">
      <c r="A11" s="3" t="s">
        <v>18</v>
      </c>
      <c r="B11" s="3" t="n">
        <v>1</v>
      </c>
      <c r="C11" s="3" t="s">
        <v>122</v>
      </c>
      <c r="D11" s="3" t="n">
        <v>0.888235043811911</v>
      </c>
      <c r="E11" s="3"/>
      <c r="F11" s="3" t="s">
        <v>120</v>
      </c>
      <c r="G11" s="3" t="s">
        <v>128</v>
      </c>
    </row>
    <row r="12" customFormat="false" ht="15" hidden="false" customHeight="false" outlineLevel="0" collapsed="false">
      <c r="A12" s="3" t="s">
        <v>18</v>
      </c>
      <c r="B12" s="3" t="n">
        <v>1</v>
      </c>
      <c r="C12" s="3" t="s">
        <v>123</v>
      </c>
      <c r="D12" s="3" t="n">
        <v>0.0873663691748252</v>
      </c>
      <c r="E12" s="3"/>
      <c r="F12" s="3" t="s">
        <v>124</v>
      </c>
      <c r="G12" s="3" t="s">
        <v>128</v>
      </c>
    </row>
    <row r="13" customFormat="false" ht="15" hidden="false" customHeight="false" outlineLevel="0" collapsed="false">
      <c r="A13" s="3" t="s">
        <v>18</v>
      </c>
      <c r="B13" s="3" t="n">
        <v>1</v>
      </c>
      <c r="C13" s="3" t="s">
        <v>125</v>
      </c>
      <c r="D13" s="3"/>
      <c r="E13" s="3" t="s">
        <v>129</v>
      </c>
      <c r="F13" s="3" t="s">
        <v>130</v>
      </c>
      <c r="G13" s="3" t="s">
        <v>128</v>
      </c>
    </row>
    <row r="14" customFormat="false" ht="15" hidden="false" customHeight="false" outlineLevel="0" collapsed="false">
      <c r="A14" s="3" t="s">
        <v>18</v>
      </c>
      <c r="B14" s="3" t="n">
        <v>100</v>
      </c>
      <c r="C14" s="3" t="s">
        <v>119</v>
      </c>
      <c r="D14" s="3" t="n">
        <v>4</v>
      </c>
      <c r="E14" s="3"/>
      <c r="F14" s="3" t="s">
        <v>120</v>
      </c>
      <c r="G14" s="3" t="s">
        <v>128</v>
      </c>
    </row>
    <row r="15" customFormat="false" ht="15" hidden="false" customHeight="false" outlineLevel="0" collapsed="false">
      <c r="A15" s="3" t="s">
        <v>18</v>
      </c>
      <c r="B15" s="3" t="n">
        <v>100</v>
      </c>
      <c r="C15" s="3" t="s">
        <v>122</v>
      </c>
      <c r="D15" s="3" t="n">
        <v>1.43466151824597</v>
      </c>
      <c r="E15" s="3"/>
      <c r="F15" s="3" t="s">
        <v>120</v>
      </c>
      <c r="G15" s="3" t="s">
        <v>128</v>
      </c>
    </row>
    <row r="16" customFormat="false" ht="15" hidden="false" customHeight="false" outlineLevel="0" collapsed="false">
      <c r="A16" s="3" t="s">
        <v>18</v>
      </c>
      <c r="B16" s="3" t="n">
        <v>100</v>
      </c>
      <c r="C16" s="3" t="s">
        <v>123</v>
      </c>
      <c r="D16" s="3" t="n">
        <v>0.234205415363748</v>
      </c>
      <c r="E16" s="3"/>
      <c r="F16" s="3" t="s">
        <v>124</v>
      </c>
      <c r="G16" s="3" t="s">
        <v>128</v>
      </c>
    </row>
    <row r="17" customFormat="false" ht="15" hidden="false" customHeight="false" outlineLevel="0" collapsed="false">
      <c r="A17" s="3" t="s">
        <v>18</v>
      </c>
      <c r="B17" s="3" t="n">
        <v>100</v>
      </c>
      <c r="C17" s="3" t="s">
        <v>125</v>
      </c>
      <c r="D17" s="3"/>
      <c r="E17" s="3" t="s">
        <v>126</v>
      </c>
      <c r="F17" s="3" t="s">
        <v>127</v>
      </c>
      <c r="G17" s="3" t="s">
        <v>128</v>
      </c>
    </row>
    <row r="18" customFormat="false" ht="15" hidden="false" customHeight="false" outlineLevel="0" collapsed="false">
      <c r="A18" s="3"/>
      <c r="B18" s="3" t="n">
        <v>1</v>
      </c>
      <c r="C18" s="3" t="s">
        <v>131</v>
      </c>
      <c r="D18" s="3"/>
      <c r="E18" s="3" t="s">
        <v>126</v>
      </c>
      <c r="F18" s="3" t="s">
        <v>132</v>
      </c>
      <c r="G18" s="3" t="s">
        <v>133</v>
      </c>
    </row>
    <row r="19" customFormat="false" ht="15" hidden="false" customHeight="false" outlineLevel="0" collapsed="false">
      <c r="A19" s="3"/>
      <c r="B19" s="3" t="n">
        <v>100</v>
      </c>
      <c r="C19" s="3" t="s">
        <v>131</v>
      </c>
      <c r="D19" s="3"/>
      <c r="E19" s="3" t="s">
        <v>129</v>
      </c>
      <c r="F19" s="3" t="s">
        <v>134</v>
      </c>
      <c r="G19" s="3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1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8" min="7" style="0" width="28"/>
  </cols>
  <sheetData>
    <row r="1" customFormat="false" ht="23.85" hidden="false" customHeight="false" outlineLevel="0" collapsed="false">
      <c r="A1" s="1" t="s">
        <v>80</v>
      </c>
      <c r="B1" s="1" t="s">
        <v>136</v>
      </c>
      <c r="C1" s="1" t="s">
        <v>82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</row>
    <row r="2" customFormat="false" ht="15" hidden="false" customHeight="false" outlineLevel="0" collapsed="false">
      <c r="A2" s="3" t="s">
        <v>17</v>
      </c>
      <c r="B2" s="3" t="s">
        <v>142</v>
      </c>
      <c r="C2" s="3" t="s">
        <v>103</v>
      </c>
      <c r="D2" s="3" t="n">
        <v>0</v>
      </c>
      <c r="E2" s="3" t="n">
        <v>0.214</v>
      </c>
      <c r="F2" s="3" t="n">
        <v>214</v>
      </c>
      <c r="G2" s="3" t="n">
        <v>73</v>
      </c>
      <c r="H2" s="3" t="n">
        <v>141</v>
      </c>
    </row>
    <row r="3" customFormat="false" ht="15" hidden="false" customHeight="false" outlineLevel="0" collapsed="false">
      <c r="A3" s="3" t="s">
        <v>17</v>
      </c>
      <c r="B3" s="3" t="s">
        <v>142</v>
      </c>
      <c r="C3" s="3" t="s">
        <v>104</v>
      </c>
      <c r="D3" s="3" t="n">
        <v>0</v>
      </c>
      <c r="E3" s="3" t="n">
        <v>0.214</v>
      </c>
      <c r="F3" s="3" t="n">
        <v>214</v>
      </c>
      <c r="G3" s="3" t="n">
        <v>73</v>
      </c>
      <c r="H3" s="3" t="n">
        <v>141</v>
      </c>
    </row>
    <row r="4" customFormat="false" ht="15" hidden="false" customHeight="false" outlineLevel="0" collapsed="false">
      <c r="A4" s="3" t="s">
        <v>17</v>
      </c>
      <c r="B4" s="3" t="s">
        <v>142</v>
      </c>
      <c r="C4" s="3" t="s">
        <v>105</v>
      </c>
      <c r="D4" s="3" t="n">
        <v>0</v>
      </c>
      <c r="E4" s="3" t="n">
        <v>0.214</v>
      </c>
      <c r="F4" s="3" t="n">
        <v>214</v>
      </c>
      <c r="G4" s="3" t="n">
        <v>73</v>
      </c>
      <c r="H4" s="3" t="n">
        <v>141</v>
      </c>
    </row>
    <row r="5" customFormat="false" ht="15" hidden="false" customHeight="false" outlineLevel="0" collapsed="false">
      <c r="A5" s="3" t="s">
        <v>17</v>
      </c>
      <c r="B5" s="3" t="s">
        <v>143</v>
      </c>
      <c r="C5" s="3" t="s">
        <v>103</v>
      </c>
      <c r="D5" s="3" t="n">
        <v>0</v>
      </c>
      <c r="E5" s="3" t="n">
        <v>0.224</v>
      </c>
      <c r="F5" s="3" t="n">
        <v>224</v>
      </c>
      <c r="G5" s="3" t="n">
        <v>32</v>
      </c>
      <c r="H5" s="3" t="n">
        <v>192</v>
      </c>
    </row>
    <row r="6" customFormat="false" ht="15" hidden="false" customHeight="false" outlineLevel="0" collapsed="false">
      <c r="A6" s="3" t="s">
        <v>17</v>
      </c>
      <c r="B6" s="3" t="s">
        <v>143</v>
      </c>
      <c r="C6" s="3" t="s">
        <v>104</v>
      </c>
      <c r="D6" s="3" t="n">
        <v>0</v>
      </c>
      <c r="E6" s="3" t="n">
        <v>0.224</v>
      </c>
      <c r="F6" s="3" t="n">
        <v>224</v>
      </c>
      <c r="G6" s="3" t="n">
        <v>32</v>
      </c>
      <c r="H6" s="3" t="n">
        <v>192</v>
      </c>
    </row>
    <row r="7" customFormat="false" ht="15" hidden="false" customHeight="false" outlineLevel="0" collapsed="false">
      <c r="A7" s="3" t="s">
        <v>17</v>
      </c>
      <c r="B7" s="3" t="s">
        <v>143</v>
      </c>
      <c r="C7" s="3" t="s">
        <v>105</v>
      </c>
      <c r="D7" s="3" t="n">
        <v>0</v>
      </c>
      <c r="E7" s="3" t="n">
        <v>0.224</v>
      </c>
      <c r="F7" s="3" t="n">
        <v>224</v>
      </c>
      <c r="G7" s="3" t="n">
        <v>32</v>
      </c>
      <c r="H7" s="3" t="n">
        <v>192</v>
      </c>
    </row>
    <row r="8" customFormat="false" ht="15" hidden="false" customHeight="false" outlineLevel="0" collapsed="false">
      <c r="A8" s="3" t="s">
        <v>17</v>
      </c>
      <c r="B8" s="3" t="s">
        <v>144</v>
      </c>
      <c r="C8" s="3" t="s">
        <v>103</v>
      </c>
      <c r="D8" s="3" t="n">
        <v>0</v>
      </c>
      <c r="E8" s="3" t="n">
        <v>0.307</v>
      </c>
      <c r="F8" s="3" t="n">
        <v>307</v>
      </c>
      <c r="G8" s="3" t="n">
        <v>46</v>
      </c>
      <c r="H8" s="3" t="n">
        <v>261</v>
      </c>
    </row>
    <row r="9" customFormat="false" ht="15" hidden="false" customHeight="false" outlineLevel="0" collapsed="false">
      <c r="A9" s="3" t="s">
        <v>17</v>
      </c>
      <c r="B9" s="3" t="s">
        <v>144</v>
      </c>
      <c r="C9" s="3" t="s">
        <v>104</v>
      </c>
      <c r="D9" s="3" t="n">
        <v>0</v>
      </c>
      <c r="E9" s="3" t="n">
        <v>0.307</v>
      </c>
      <c r="F9" s="3" t="n">
        <v>307</v>
      </c>
      <c r="G9" s="3" t="n">
        <v>46</v>
      </c>
      <c r="H9" s="3" t="n">
        <v>261</v>
      </c>
    </row>
    <row r="10" customFormat="false" ht="15" hidden="false" customHeight="false" outlineLevel="0" collapsed="false">
      <c r="A10" s="3" t="s">
        <v>17</v>
      </c>
      <c r="B10" s="3" t="s">
        <v>144</v>
      </c>
      <c r="C10" s="3" t="s">
        <v>105</v>
      </c>
      <c r="D10" s="3" t="n">
        <v>0</v>
      </c>
      <c r="E10" s="3" t="n">
        <v>0.307</v>
      </c>
      <c r="F10" s="3" t="n">
        <v>307</v>
      </c>
      <c r="G10" s="3" t="n">
        <v>46</v>
      </c>
      <c r="H10" s="3" t="n">
        <v>261</v>
      </c>
    </row>
    <row r="11" customFormat="false" ht="15" hidden="false" customHeight="false" outlineLevel="0" collapsed="false">
      <c r="A11" s="3" t="s">
        <v>18</v>
      </c>
      <c r="B11" s="3" t="s">
        <v>142</v>
      </c>
      <c r="C11" s="3" t="s">
        <v>103</v>
      </c>
      <c r="D11" s="3" t="n">
        <v>0</v>
      </c>
      <c r="E11" s="3" t="n">
        <v>0.214</v>
      </c>
      <c r="F11" s="3" t="n">
        <v>214</v>
      </c>
      <c r="G11" s="3" t="n">
        <v>73</v>
      </c>
      <c r="H11" s="3" t="n">
        <v>141</v>
      </c>
    </row>
    <row r="12" customFormat="false" ht="15" hidden="false" customHeight="false" outlineLevel="0" collapsed="false">
      <c r="A12" s="3" t="s">
        <v>18</v>
      </c>
      <c r="B12" s="3" t="s">
        <v>142</v>
      </c>
      <c r="C12" s="3" t="s">
        <v>104</v>
      </c>
      <c r="D12" s="3" t="n">
        <v>0</v>
      </c>
      <c r="E12" s="3" t="n">
        <v>0.214</v>
      </c>
      <c r="F12" s="3" t="n">
        <v>214</v>
      </c>
      <c r="G12" s="3" t="n">
        <v>73</v>
      </c>
      <c r="H12" s="3" t="n">
        <v>141</v>
      </c>
    </row>
    <row r="13" customFormat="false" ht="15" hidden="false" customHeight="false" outlineLevel="0" collapsed="false">
      <c r="A13" s="3" t="s">
        <v>18</v>
      </c>
      <c r="B13" s="3" t="s">
        <v>142</v>
      </c>
      <c r="C13" s="3" t="s">
        <v>105</v>
      </c>
      <c r="D13" s="3" t="n">
        <v>0</v>
      </c>
      <c r="E13" s="3" t="n">
        <v>0.214</v>
      </c>
      <c r="F13" s="3" t="n">
        <v>214</v>
      </c>
      <c r="G13" s="3" t="n">
        <v>73</v>
      </c>
      <c r="H13" s="3" t="n">
        <v>141</v>
      </c>
    </row>
    <row r="14" customFormat="false" ht="15" hidden="false" customHeight="false" outlineLevel="0" collapsed="false">
      <c r="A14" s="3" t="s">
        <v>18</v>
      </c>
      <c r="B14" s="3" t="s">
        <v>143</v>
      </c>
      <c r="C14" s="3" t="s">
        <v>103</v>
      </c>
      <c r="D14" s="3" t="n">
        <v>0</v>
      </c>
      <c r="E14" s="3" t="n">
        <v>0.224</v>
      </c>
      <c r="F14" s="3" t="n">
        <v>224</v>
      </c>
      <c r="G14" s="3" t="n">
        <v>32</v>
      </c>
      <c r="H14" s="3" t="n">
        <v>192</v>
      </c>
    </row>
    <row r="15" customFormat="false" ht="15" hidden="false" customHeight="false" outlineLevel="0" collapsed="false">
      <c r="A15" s="3" t="s">
        <v>18</v>
      </c>
      <c r="B15" s="3" t="s">
        <v>143</v>
      </c>
      <c r="C15" s="3" t="s">
        <v>104</v>
      </c>
      <c r="D15" s="3" t="n">
        <v>0</v>
      </c>
      <c r="E15" s="3" t="n">
        <v>0.224</v>
      </c>
      <c r="F15" s="3" t="n">
        <v>224</v>
      </c>
      <c r="G15" s="3" t="n">
        <v>32</v>
      </c>
      <c r="H15" s="3" t="n">
        <v>192</v>
      </c>
    </row>
    <row r="16" customFormat="false" ht="15" hidden="false" customHeight="false" outlineLevel="0" collapsed="false">
      <c r="A16" s="3" t="s">
        <v>18</v>
      </c>
      <c r="B16" s="3" t="s">
        <v>143</v>
      </c>
      <c r="C16" s="3" t="s">
        <v>105</v>
      </c>
      <c r="D16" s="3" t="n">
        <v>0</v>
      </c>
      <c r="E16" s="3" t="n">
        <v>0.224</v>
      </c>
      <c r="F16" s="3" t="n">
        <v>224</v>
      </c>
      <c r="G16" s="3" t="n">
        <v>32</v>
      </c>
      <c r="H16" s="3" t="n">
        <v>192</v>
      </c>
    </row>
    <row r="17" customFormat="false" ht="15" hidden="false" customHeight="false" outlineLevel="0" collapsed="false">
      <c r="A17" s="3" t="s">
        <v>18</v>
      </c>
      <c r="B17" s="3" t="s">
        <v>144</v>
      </c>
      <c r="C17" s="3" t="s">
        <v>103</v>
      </c>
      <c r="D17" s="3" t="n">
        <v>0</v>
      </c>
      <c r="E17" s="3" t="n">
        <v>0.307</v>
      </c>
      <c r="F17" s="3" t="n">
        <v>307</v>
      </c>
      <c r="G17" s="3" t="n">
        <v>46</v>
      </c>
      <c r="H17" s="3" t="n">
        <v>261</v>
      </c>
    </row>
    <row r="18" customFormat="false" ht="15" hidden="false" customHeight="false" outlineLevel="0" collapsed="false">
      <c r="A18" s="3" t="s">
        <v>18</v>
      </c>
      <c r="B18" s="3" t="s">
        <v>144</v>
      </c>
      <c r="C18" s="3" t="s">
        <v>104</v>
      </c>
      <c r="D18" s="3" t="n">
        <v>0</v>
      </c>
      <c r="E18" s="3" t="n">
        <v>0.307</v>
      </c>
      <c r="F18" s="3" t="n">
        <v>307</v>
      </c>
      <c r="G18" s="3" t="n">
        <v>46</v>
      </c>
      <c r="H18" s="3" t="n">
        <v>261</v>
      </c>
    </row>
    <row r="19" customFormat="false" ht="15" hidden="false" customHeight="false" outlineLevel="0" collapsed="false">
      <c r="A19" s="3" t="s">
        <v>18</v>
      </c>
      <c r="B19" s="3" t="s">
        <v>144</v>
      </c>
      <c r="C19" s="3" t="s">
        <v>105</v>
      </c>
      <c r="D19" s="3" t="n">
        <v>0</v>
      </c>
      <c r="E19" s="3" t="n">
        <v>0.307</v>
      </c>
      <c r="F19" s="3" t="n">
        <v>307</v>
      </c>
      <c r="G19" s="3" t="n">
        <v>46</v>
      </c>
      <c r="H19" s="3" t="n">
        <v>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26"/>
    <col collapsed="false" customWidth="true" hidden="false" outlineLevel="0" max="9" min="9" style="0" width="22"/>
    <col collapsed="false" customWidth="true" hidden="false" outlineLevel="0" max="10" min="10" style="0" width="20"/>
  </cols>
  <sheetData>
    <row r="1" customFormat="false" ht="15" hidden="false" customHeight="false" outlineLevel="0" collapsed="false">
      <c r="A1" s="1" t="s">
        <v>145</v>
      </c>
      <c r="B1" s="1" t="s">
        <v>82</v>
      </c>
      <c r="C1" s="1" t="s">
        <v>96</v>
      </c>
      <c r="D1" s="1" t="s">
        <v>98</v>
      </c>
      <c r="E1" s="1" t="s">
        <v>100</v>
      </c>
      <c r="F1" s="1" t="s">
        <v>102</v>
      </c>
      <c r="G1" s="1" t="s">
        <v>146</v>
      </c>
      <c r="H1" s="1" t="s">
        <v>147</v>
      </c>
      <c r="I1" s="1" t="s">
        <v>148</v>
      </c>
      <c r="J1" s="1" t="s">
        <v>149</v>
      </c>
    </row>
    <row r="2" customFormat="false" ht="15" hidden="false" customHeight="false" outlineLevel="0" collapsed="false">
      <c r="A2" s="3" t="n">
        <v>10</v>
      </c>
      <c r="B2" s="3" t="s">
        <v>103</v>
      </c>
      <c r="C2" s="3" t="n">
        <v>0.7354</v>
      </c>
      <c r="D2" s="3" t="n">
        <v>0.0191</v>
      </c>
      <c r="E2" s="3" t="n">
        <v>1.5396</v>
      </c>
      <c r="F2" s="3" t="n">
        <v>0.1433</v>
      </c>
      <c r="G2" s="3"/>
      <c r="H2" s="3"/>
      <c r="I2" s="3" t="n">
        <v>0.2136</v>
      </c>
      <c r="J2" s="3" t="n">
        <v>0.0095</v>
      </c>
    </row>
    <row r="3" customFormat="false" ht="15" hidden="false" customHeight="false" outlineLevel="0" collapsed="false">
      <c r="A3" s="3" t="n">
        <v>10</v>
      </c>
      <c r="B3" s="3" t="s">
        <v>104</v>
      </c>
      <c r="C3" s="3" t="n">
        <v>0.9454</v>
      </c>
      <c r="D3" s="3" t="n">
        <v>0.0204</v>
      </c>
      <c r="E3" s="3" t="n">
        <v>1.9325</v>
      </c>
      <c r="F3" s="3" t="n">
        <v>0.127</v>
      </c>
      <c r="G3" s="3"/>
      <c r="H3" s="3"/>
      <c r="I3" s="3" t="n">
        <v>0.3873</v>
      </c>
      <c r="J3" s="3" t="n">
        <v>0.0105</v>
      </c>
    </row>
    <row r="4" customFormat="false" ht="15" hidden="false" customHeight="false" outlineLevel="0" collapsed="false">
      <c r="A4" s="3" t="n">
        <v>10</v>
      </c>
      <c r="B4" s="3" t="s">
        <v>150</v>
      </c>
      <c r="C4" s="3"/>
      <c r="D4" s="3"/>
      <c r="E4" s="3"/>
      <c r="F4" s="3"/>
      <c r="G4" s="3" t="n">
        <v>1.2625</v>
      </c>
      <c r="H4" s="3" t="n">
        <v>0.1255</v>
      </c>
      <c r="I4" s="3"/>
      <c r="J4" s="3"/>
    </row>
    <row r="5" customFormat="false" ht="15" hidden="false" customHeight="false" outlineLevel="0" collapsed="false">
      <c r="A5" s="3" t="n">
        <v>10</v>
      </c>
      <c r="B5" s="3" t="s">
        <v>105</v>
      </c>
      <c r="C5" s="3" t="n">
        <v>0.5612</v>
      </c>
      <c r="D5" s="3" t="n">
        <v>0.0198</v>
      </c>
      <c r="E5" s="3" t="n">
        <v>1.3244</v>
      </c>
      <c r="F5" s="3" t="n">
        <v>0.0419</v>
      </c>
      <c r="G5" s="3"/>
      <c r="H5" s="3"/>
      <c r="I5" s="3" t="n">
        <v>0.0684</v>
      </c>
      <c r="J5" s="3" t="n">
        <v>0.0019</v>
      </c>
    </row>
    <row r="6" customFormat="false" ht="15" hidden="false" customHeight="false" outlineLevel="0" collapsed="false">
      <c r="A6" s="3" t="n">
        <v>30</v>
      </c>
      <c r="B6" s="3" t="s">
        <v>103</v>
      </c>
      <c r="C6" s="3" t="n">
        <v>0.7702</v>
      </c>
      <c r="D6" s="3" t="n">
        <v>0.0334</v>
      </c>
      <c r="E6" s="3" t="n">
        <v>1.6654</v>
      </c>
      <c r="F6" s="3" t="n">
        <v>0.1061</v>
      </c>
      <c r="G6" s="3"/>
      <c r="H6" s="3"/>
      <c r="I6" s="3" t="n">
        <v>0.2264</v>
      </c>
      <c r="J6" s="3" t="n">
        <v>0.0117</v>
      </c>
    </row>
    <row r="7" customFormat="false" ht="15" hidden="false" customHeight="false" outlineLevel="0" collapsed="false">
      <c r="A7" s="3" t="n">
        <v>30</v>
      </c>
      <c r="B7" s="3" t="s">
        <v>104</v>
      </c>
      <c r="C7" s="3" t="n">
        <v>1.0034</v>
      </c>
      <c r="D7" s="3" t="n">
        <v>0.0585</v>
      </c>
      <c r="E7" s="3" t="n">
        <v>2.1523</v>
      </c>
      <c r="F7" s="3" t="n">
        <v>0.2734</v>
      </c>
      <c r="G7" s="3"/>
      <c r="H7" s="3"/>
      <c r="I7" s="3" t="n">
        <v>0.4437</v>
      </c>
      <c r="J7" s="3" t="n">
        <v>0.0345</v>
      </c>
    </row>
    <row r="8" customFormat="false" ht="15" hidden="false" customHeight="false" outlineLevel="0" collapsed="false">
      <c r="A8" s="3" t="n">
        <v>30</v>
      </c>
      <c r="B8" s="3" t="s">
        <v>150</v>
      </c>
      <c r="C8" s="3"/>
      <c r="D8" s="3"/>
      <c r="E8" s="3"/>
      <c r="F8" s="3"/>
      <c r="G8" s="3" t="n">
        <v>1.2962</v>
      </c>
      <c r="H8" s="3" t="n">
        <v>0.179</v>
      </c>
      <c r="I8" s="3"/>
      <c r="J8" s="3"/>
    </row>
    <row r="9" customFormat="false" ht="15" hidden="false" customHeight="false" outlineLevel="0" collapsed="false">
      <c r="A9" s="3" t="n">
        <v>30</v>
      </c>
      <c r="B9" s="3" t="s">
        <v>105</v>
      </c>
      <c r="C9" s="3" t="n">
        <v>0.5804</v>
      </c>
      <c r="D9" s="3" t="n">
        <v>0.0139</v>
      </c>
      <c r="E9" s="3" t="n">
        <v>1.3476</v>
      </c>
      <c r="F9" s="3" t="n">
        <v>0.0469</v>
      </c>
      <c r="G9" s="3"/>
      <c r="H9" s="3"/>
      <c r="I9" s="3" t="n">
        <v>0.0717</v>
      </c>
      <c r="J9" s="3" t="n">
        <v>0.0019</v>
      </c>
    </row>
    <row r="10" customFormat="false" ht="15" hidden="false" customHeight="false" outlineLevel="0" collapsed="false">
      <c r="A10" s="3" t="n">
        <v>60</v>
      </c>
      <c r="B10" s="3" t="s">
        <v>103</v>
      </c>
      <c r="C10" s="3" t="n">
        <v>0.7832</v>
      </c>
      <c r="D10" s="3" t="n">
        <v>0.0328</v>
      </c>
      <c r="E10" s="3" t="n">
        <v>1.7289</v>
      </c>
      <c r="F10" s="3" t="n">
        <v>0.1986</v>
      </c>
      <c r="G10" s="3"/>
      <c r="H10" s="3"/>
      <c r="I10" s="3" t="n">
        <v>0.231</v>
      </c>
      <c r="J10" s="3" t="n">
        <v>0.0153</v>
      </c>
    </row>
    <row r="11" customFormat="false" ht="15" hidden="false" customHeight="false" outlineLevel="0" collapsed="false">
      <c r="A11" s="3" t="n">
        <v>60</v>
      </c>
      <c r="B11" s="3" t="s">
        <v>104</v>
      </c>
      <c r="C11" s="3" t="n">
        <v>1.0646</v>
      </c>
      <c r="D11" s="3" t="n">
        <v>0.0216</v>
      </c>
      <c r="E11" s="3" t="n">
        <v>2.1924</v>
      </c>
      <c r="F11" s="3" t="n">
        <v>0.2007</v>
      </c>
      <c r="G11" s="3"/>
      <c r="H11" s="3"/>
      <c r="I11" s="3" t="n">
        <v>0.5047</v>
      </c>
      <c r="J11" s="3" t="n">
        <v>0.0175</v>
      </c>
    </row>
    <row r="12" customFormat="false" ht="15" hidden="false" customHeight="false" outlineLevel="0" collapsed="false">
      <c r="A12" s="3" t="n">
        <v>60</v>
      </c>
      <c r="B12" s="3" t="s">
        <v>150</v>
      </c>
      <c r="C12" s="3"/>
      <c r="D12" s="3"/>
      <c r="E12" s="3"/>
      <c r="F12" s="3"/>
      <c r="G12" s="3" t="n">
        <v>1.285</v>
      </c>
      <c r="H12" s="3" t="n">
        <v>0.2127</v>
      </c>
      <c r="I12" s="3"/>
      <c r="J12" s="3"/>
    </row>
    <row r="13" customFormat="false" ht="15" hidden="false" customHeight="false" outlineLevel="0" collapsed="false">
      <c r="A13" s="3" t="n">
        <v>60</v>
      </c>
      <c r="B13" s="3" t="s">
        <v>105</v>
      </c>
      <c r="C13" s="3" t="n">
        <v>0.5785</v>
      </c>
      <c r="D13" s="3" t="n">
        <v>0.0313</v>
      </c>
      <c r="E13" s="3" t="n">
        <v>1.3281</v>
      </c>
      <c r="F13" s="3" t="n">
        <v>0.0982</v>
      </c>
      <c r="G13" s="3"/>
      <c r="H13" s="3"/>
      <c r="I13" s="3" t="n">
        <v>0.074</v>
      </c>
      <c r="J13" s="3" t="n">
        <v>0.0026</v>
      </c>
    </row>
    <row r="14" customFormat="false" ht="15" hidden="false" customHeight="false" outlineLevel="0" collapsed="false">
      <c r="A14" s="3" t="n">
        <v>120</v>
      </c>
      <c r="B14" s="3" t="s">
        <v>103</v>
      </c>
      <c r="C14" s="3" t="n">
        <v>0.7947</v>
      </c>
      <c r="D14" s="3" t="n">
        <v>0.0703</v>
      </c>
      <c r="E14" s="3" t="n">
        <v>1.6923</v>
      </c>
      <c r="F14" s="3" t="n">
        <v>0.2795</v>
      </c>
      <c r="G14" s="3"/>
      <c r="H14" s="3"/>
      <c r="I14" s="3" t="n">
        <v>0.2333</v>
      </c>
      <c r="J14" s="3" t="n">
        <v>0.0287</v>
      </c>
    </row>
    <row r="15" customFormat="false" ht="15" hidden="false" customHeight="false" outlineLevel="0" collapsed="false">
      <c r="A15" s="3" t="n">
        <v>120</v>
      </c>
      <c r="B15" s="3" t="s">
        <v>104</v>
      </c>
      <c r="C15" s="3" t="n">
        <v>1.1651</v>
      </c>
      <c r="D15" s="3" t="n">
        <v>0.0311</v>
      </c>
      <c r="E15" s="3" t="n">
        <v>2.3405</v>
      </c>
      <c r="F15" s="3" t="n">
        <v>0.1104</v>
      </c>
      <c r="G15" s="3"/>
      <c r="H15" s="3"/>
      <c r="I15" s="3" t="n">
        <v>0.6142</v>
      </c>
      <c r="J15" s="3" t="n">
        <v>0.0199</v>
      </c>
    </row>
    <row r="16" customFormat="false" ht="15" hidden="false" customHeight="false" outlineLevel="0" collapsed="false">
      <c r="A16" s="3" t="n">
        <v>120</v>
      </c>
      <c r="B16" s="3" t="s">
        <v>150</v>
      </c>
      <c r="C16" s="3"/>
      <c r="D16" s="3"/>
      <c r="E16" s="3"/>
      <c r="F16" s="3"/>
      <c r="G16" s="3" t="n">
        <v>1.4155</v>
      </c>
      <c r="H16" s="3" t="n">
        <v>0.2465</v>
      </c>
      <c r="I16" s="3"/>
      <c r="J16" s="3"/>
    </row>
    <row r="17" customFormat="false" ht="15" hidden="false" customHeight="false" outlineLevel="0" collapsed="false">
      <c r="A17" s="3" t="n">
        <v>120</v>
      </c>
      <c r="B17" s="3" t="s">
        <v>105</v>
      </c>
      <c r="C17" s="3" t="n">
        <v>0.5734</v>
      </c>
      <c r="D17" s="3" t="n">
        <v>0.007</v>
      </c>
      <c r="E17" s="3" t="n">
        <v>1.2907</v>
      </c>
      <c r="F17" s="3" t="n">
        <v>0.0625</v>
      </c>
      <c r="G17" s="3"/>
      <c r="H17" s="3"/>
      <c r="I17" s="3" t="n">
        <v>0.0782</v>
      </c>
      <c r="J17" s="3" t="n">
        <v>0.0015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9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7" min="6" style="0" width="19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19"/>
    <col collapsed="false" customWidth="true" hidden="false" outlineLevel="0" max="11" min="11" style="0" width="27"/>
    <col collapsed="false" customWidth="true" hidden="false" outlineLevel="0" max="13" min="12" style="0" width="28"/>
    <col collapsed="false" customWidth="true" hidden="false" outlineLevel="0" max="14" min="14" style="0" width="27"/>
  </cols>
  <sheetData>
    <row r="1" customFormat="false" ht="15" hidden="false" customHeight="false" outlineLevel="0" collapsed="false">
      <c r="A1" s="1" t="s">
        <v>151</v>
      </c>
      <c r="B1" s="1" t="s">
        <v>82</v>
      </c>
      <c r="C1" s="1" t="s">
        <v>95</v>
      </c>
      <c r="D1" s="1" t="s">
        <v>96</v>
      </c>
      <c r="E1" s="1" t="s">
        <v>152</v>
      </c>
      <c r="F1" s="1" t="s">
        <v>97</v>
      </c>
      <c r="G1" s="1" t="s">
        <v>99</v>
      </c>
      <c r="H1" s="1" t="s">
        <v>100</v>
      </c>
      <c r="I1" s="1" t="s">
        <v>153</v>
      </c>
      <c r="J1" s="1" t="s">
        <v>101</v>
      </c>
      <c r="K1" s="1" t="s">
        <v>154</v>
      </c>
      <c r="L1" s="1" t="s">
        <v>146</v>
      </c>
      <c r="M1" s="1" t="s">
        <v>155</v>
      </c>
      <c r="N1" s="1" t="s">
        <v>156</v>
      </c>
    </row>
    <row r="2" customFormat="false" ht="15" hidden="false" customHeight="false" outlineLevel="0" collapsed="false">
      <c r="A2" s="3" t="s">
        <v>157</v>
      </c>
      <c r="B2" s="3" t="s">
        <v>103</v>
      </c>
      <c r="C2" s="3" t="n">
        <v>0.8545</v>
      </c>
      <c r="D2" s="3" t="n">
        <v>0.8125</v>
      </c>
      <c r="E2" s="3" t="n">
        <v>0.8285</v>
      </c>
      <c r="F2" s="3" t="n">
        <v>0.7686</v>
      </c>
      <c r="G2" s="3" t="n">
        <v>2.1707</v>
      </c>
      <c r="H2" s="3" t="n">
        <v>1.8897</v>
      </c>
      <c r="I2" s="3" t="n">
        <v>1.8689</v>
      </c>
      <c r="J2" s="3" t="n">
        <v>1.5825</v>
      </c>
      <c r="K2" s="3"/>
      <c r="L2" s="3"/>
      <c r="M2" s="3"/>
      <c r="N2" s="3"/>
    </row>
    <row r="3" customFormat="false" ht="15" hidden="false" customHeight="false" outlineLevel="0" collapsed="false">
      <c r="A3" s="3" t="s">
        <v>157</v>
      </c>
      <c r="B3" s="3" t="s">
        <v>104</v>
      </c>
      <c r="C3" s="3" t="n">
        <v>1.0677</v>
      </c>
      <c r="D3" s="3" t="n">
        <v>1.0138</v>
      </c>
      <c r="E3" s="3" t="n">
        <v>1.0169</v>
      </c>
      <c r="F3" s="3" t="n">
        <v>0.9569</v>
      </c>
      <c r="G3" s="3" t="n">
        <v>2.5394</v>
      </c>
      <c r="H3" s="3" t="n">
        <v>2.2167</v>
      </c>
      <c r="I3" s="3" t="n">
        <v>2.1451</v>
      </c>
      <c r="J3" s="3" t="n">
        <v>1.9545</v>
      </c>
      <c r="K3" s="3"/>
      <c r="L3" s="3"/>
      <c r="M3" s="3"/>
      <c r="N3" s="3"/>
    </row>
    <row r="4" customFormat="false" ht="15" hidden="false" customHeight="false" outlineLevel="0" collapsed="false">
      <c r="A4" s="3" t="s">
        <v>157</v>
      </c>
      <c r="B4" s="3" t="s">
        <v>150</v>
      </c>
      <c r="C4" s="3"/>
      <c r="D4" s="3"/>
      <c r="E4" s="3"/>
      <c r="F4" s="3"/>
      <c r="G4" s="3"/>
      <c r="H4" s="3"/>
      <c r="I4" s="3"/>
      <c r="J4" s="3"/>
      <c r="K4" s="3" t="n">
        <v>1.3024</v>
      </c>
      <c r="L4" s="3" t="n">
        <v>1.1853</v>
      </c>
      <c r="M4" s="3" t="n">
        <v>1.2695</v>
      </c>
      <c r="N4" s="3" t="n">
        <v>0.9148</v>
      </c>
    </row>
    <row r="5" customFormat="false" ht="15" hidden="false" customHeight="false" outlineLevel="0" collapsed="false">
      <c r="A5" s="3" t="s">
        <v>157</v>
      </c>
      <c r="B5" s="3" t="s">
        <v>105</v>
      </c>
      <c r="C5" s="3" t="n">
        <v>0.639</v>
      </c>
      <c r="D5" s="3" t="n">
        <v>0.5905</v>
      </c>
      <c r="E5" s="3" t="n">
        <v>0.5825</v>
      </c>
      <c r="F5" s="3" t="n">
        <v>0.5462</v>
      </c>
      <c r="G5" s="3" t="n">
        <v>1.5768</v>
      </c>
      <c r="H5" s="3" t="n">
        <v>1.3986</v>
      </c>
      <c r="I5" s="3" t="n">
        <v>1.4006</v>
      </c>
      <c r="J5" s="3" t="n">
        <v>1.2162</v>
      </c>
      <c r="K5" s="3"/>
      <c r="L5" s="3"/>
      <c r="M5" s="3"/>
      <c r="N5" s="3"/>
    </row>
    <row r="6" customFormat="false" ht="15" hidden="false" customHeight="false" outlineLevel="0" collapsed="false">
      <c r="A6" s="3" t="s">
        <v>158</v>
      </c>
      <c r="B6" s="3" t="s">
        <v>103</v>
      </c>
      <c r="C6" s="3" t="n">
        <v>0.8658</v>
      </c>
      <c r="D6" s="3" t="n">
        <v>0.8064</v>
      </c>
      <c r="E6" s="3" t="n">
        <v>0.8297</v>
      </c>
      <c r="F6" s="3" t="n">
        <v>0.7379</v>
      </c>
      <c r="G6" s="3" t="n">
        <v>2.0584</v>
      </c>
      <c r="H6" s="3" t="n">
        <v>1.7931</v>
      </c>
      <c r="I6" s="3" t="n">
        <v>1.8713</v>
      </c>
      <c r="J6" s="3" t="n">
        <v>1.5095</v>
      </c>
      <c r="K6" s="3"/>
      <c r="L6" s="3"/>
      <c r="M6" s="3"/>
      <c r="N6" s="3"/>
    </row>
    <row r="7" customFormat="false" ht="15" hidden="false" customHeight="false" outlineLevel="0" collapsed="false">
      <c r="A7" s="3" t="s">
        <v>158</v>
      </c>
      <c r="B7" s="3" t="s">
        <v>104</v>
      </c>
      <c r="C7" s="3" t="n">
        <v>1.0659</v>
      </c>
      <c r="D7" s="3" t="n">
        <v>0.9983</v>
      </c>
      <c r="E7" s="3" t="n">
        <v>0.9839</v>
      </c>
      <c r="F7" s="3" t="n">
        <v>0.9386</v>
      </c>
      <c r="G7" s="3" t="n">
        <v>2.3681</v>
      </c>
      <c r="H7" s="3" t="n">
        <v>2.1269</v>
      </c>
      <c r="I7" s="3" t="n">
        <v>2.2784</v>
      </c>
      <c r="J7" s="3" t="n">
        <v>1.8142</v>
      </c>
      <c r="K7" s="3"/>
      <c r="L7" s="3"/>
      <c r="M7" s="3"/>
      <c r="N7" s="3"/>
    </row>
    <row r="8" customFormat="false" ht="15" hidden="false" customHeight="false" outlineLevel="0" collapsed="false">
      <c r="A8" s="3" t="s">
        <v>158</v>
      </c>
      <c r="B8" s="3" t="s">
        <v>150</v>
      </c>
      <c r="C8" s="3"/>
      <c r="D8" s="3"/>
      <c r="E8" s="3"/>
      <c r="F8" s="3"/>
      <c r="G8" s="3"/>
      <c r="H8" s="3"/>
      <c r="I8" s="3"/>
      <c r="J8" s="3"/>
      <c r="K8" s="3" t="n">
        <v>1.5688</v>
      </c>
      <c r="L8" s="3" t="n">
        <v>1.2143</v>
      </c>
      <c r="M8" s="3" t="n">
        <v>1.1918</v>
      </c>
      <c r="N8" s="3" t="n">
        <v>0.8814</v>
      </c>
    </row>
    <row r="9" customFormat="false" ht="15" hidden="false" customHeight="false" outlineLevel="0" collapsed="false">
      <c r="A9" s="3" t="s">
        <v>158</v>
      </c>
      <c r="B9" s="3" t="s">
        <v>105</v>
      </c>
      <c r="C9" s="3" t="n">
        <v>0.6733</v>
      </c>
      <c r="D9" s="3" t="n">
        <v>0.5974</v>
      </c>
      <c r="E9" s="3" t="n">
        <v>0.5965</v>
      </c>
      <c r="F9" s="3" t="n">
        <v>0.5467</v>
      </c>
      <c r="G9" s="3" t="n">
        <v>1.5357</v>
      </c>
      <c r="H9" s="3" t="n">
        <v>1.3611</v>
      </c>
      <c r="I9" s="3" t="n">
        <v>1.3243</v>
      </c>
      <c r="J9" s="3" t="n">
        <v>1.2691</v>
      </c>
      <c r="K9" s="3"/>
      <c r="L9" s="3"/>
      <c r="M9" s="3"/>
      <c r="N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8"/>
    <col collapsed="false" customWidth="true" hidden="false" outlineLevel="0" max="9" min="9" style="0" width="26"/>
  </cols>
  <sheetData>
    <row r="1" customFormat="false" ht="15" hidden="false" customHeight="false" outlineLevel="0" collapsed="false">
      <c r="A1" s="1" t="s">
        <v>159</v>
      </c>
      <c r="B1" s="1" t="s">
        <v>81</v>
      </c>
      <c r="C1" s="1" t="s">
        <v>82</v>
      </c>
      <c r="D1" s="1" t="s">
        <v>96</v>
      </c>
      <c r="E1" s="1" t="s">
        <v>98</v>
      </c>
      <c r="F1" s="1" t="s">
        <v>100</v>
      </c>
      <c r="G1" s="1" t="s">
        <v>102</v>
      </c>
      <c r="H1" s="1" t="s">
        <v>146</v>
      </c>
      <c r="I1" s="1" t="s">
        <v>147</v>
      </c>
    </row>
    <row r="2" customFormat="false" ht="15" hidden="false" customHeight="false" outlineLevel="0" collapsed="false">
      <c r="A2" s="3" t="s">
        <v>160</v>
      </c>
      <c r="B2" s="3" t="n">
        <v>1</v>
      </c>
      <c r="C2" s="3" t="s">
        <v>103</v>
      </c>
      <c r="D2" s="3" t="n">
        <v>1.1576</v>
      </c>
      <c r="E2" s="3" t="n">
        <v>0.0464</v>
      </c>
      <c r="F2" s="3" t="n">
        <v>4.0924</v>
      </c>
      <c r="G2" s="3" t="n">
        <v>0.8093</v>
      </c>
      <c r="H2" s="3"/>
      <c r="I2" s="3"/>
    </row>
    <row r="3" customFormat="false" ht="15" hidden="false" customHeight="false" outlineLevel="0" collapsed="false">
      <c r="A3" s="3" t="s">
        <v>160</v>
      </c>
      <c r="B3" s="3" t="n">
        <v>1</v>
      </c>
      <c r="C3" s="3" t="s">
        <v>104</v>
      </c>
      <c r="D3" s="3" t="n">
        <v>1.4923</v>
      </c>
      <c r="E3" s="3" t="n">
        <v>0.0572</v>
      </c>
      <c r="F3" s="3" t="n">
        <v>4.52</v>
      </c>
      <c r="G3" s="3" t="n">
        <v>1.0523</v>
      </c>
      <c r="H3" s="3"/>
      <c r="I3" s="3"/>
    </row>
    <row r="4" customFormat="false" ht="15" hidden="false" customHeight="false" outlineLevel="0" collapsed="false">
      <c r="A4" s="3" t="s">
        <v>160</v>
      </c>
      <c r="B4" s="3" t="n">
        <v>1</v>
      </c>
      <c r="C4" s="3" t="s">
        <v>150</v>
      </c>
      <c r="D4" s="3"/>
      <c r="E4" s="3"/>
      <c r="F4" s="3"/>
      <c r="G4" s="3"/>
      <c r="H4" s="3" t="n">
        <v>1.1529</v>
      </c>
      <c r="I4" s="3" t="n">
        <v>0.3965</v>
      </c>
    </row>
    <row r="5" customFormat="false" ht="15" hidden="false" customHeight="false" outlineLevel="0" collapsed="false">
      <c r="A5" s="3" t="s">
        <v>160</v>
      </c>
      <c r="B5" s="3" t="n">
        <v>1</v>
      </c>
      <c r="C5" s="3" t="s">
        <v>105</v>
      </c>
      <c r="D5" s="3" t="n">
        <v>0.8347</v>
      </c>
      <c r="E5" s="3" t="n">
        <v>0.0858</v>
      </c>
      <c r="F5" s="3" t="n">
        <v>2.1342</v>
      </c>
      <c r="G5" s="3" t="n">
        <v>0.4017</v>
      </c>
      <c r="H5" s="3"/>
      <c r="I5" s="3"/>
    </row>
    <row r="6" customFormat="false" ht="15" hidden="false" customHeight="false" outlineLevel="0" collapsed="false">
      <c r="A6" s="3" t="s">
        <v>160</v>
      </c>
      <c r="B6" s="3" t="n">
        <v>10</v>
      </c>
      <c r="C6" s="3" t="s">
        <v>103</v>
      </c>
      <c r="D6" s="3" t="n">
        <v>1.2165</v>
      </c>
      <c r="E6" s="3" t="n">
        <v>0.0661</v>
      </c>
      <c r="F6" s="3" t="n">
        <v>3.5386</v>
      </c>
      <c r="G6" s="3" t="n">
        <v>0.4224</v>
      </c>
      <c r="H6" s="3"/>
      <c r="I6" s="3"/>
    </row>
    <row r="7" customFormat="false" ht="15" hidden="false" customHeight="false" outlineLevel="0" collapsed="false">
      <c r="A7" s="3" t="s">
        <v>160</v>
      </c>
      <c r="B7" s="3" t="n">
        <v>10</v>
      </c>
      <c r="C7" s="3" t="s">
        <v>104</v>
      </c>
      <c r="D7" s="3" t="n">
        <v>1.5868</v>
      </c>
      <c r="E7" s="3" t="n">
        <v>0.1346</v>
      </c>
      <c r="F7" s="3" t="n">
        <v>5.2888</v>
      </c>
      <c r="G7" s="3" t="n">
        <v>0.9125</v>
      </c>
      <c r="H7" s="3"/>
      <c r="I7" s="3"/>
    </row>
    <row r="8" customFormat="false" ht="15" hidden="false" customHeight="false" outlineLevel="0" collapsed="false">
      <c r="A8" s="3" t="s">
        <v>160</v>
      </c>
      <c r="B8" s="3" t="n">
        <v>10</v>
      </c>
      <c r="C8" s="3" t="s">
        <v>150</v>
      </c>
      <c r="D8" s="3"/>
      <c r="E8" s="3"/>
      <c r="F8" s="3"/>
      <c r="G8" s="3"/>
      <c r="H8" s="3" t="n">
        <v>1.5262</v>
      </c>
      <c r="I8" s="3" t="n">
        <v>0.3694</v>
      </c>
    </row>
    <row r="9" customFormat="false" ht="15" hidden="false" customHeight="false" outlineLevel="0" collapsed="false">
      <c r="A9" s="3" t="s">
        <v>160</v>
      </c>
      <c r="B9" s="3" t="n">
        <v>10</v>
      </c>
      <c r="C9" s="3" t="s">
        <v>105</v>
      </c>
      <c r="D9" s="3" t="n">
        <v>0.8651</v>
      </c>
      <c r="E9" s="3" t="n">
        <v>0.0823</v>
      </c>
      <c r="F9" s="3" t="n">
        <v>2.3931</v>
      </c>
      <c r="G9" s="3" t="n">
        <v>0.4161</v>
      </c>
      <c r="H9" s="3"/>
      <c r="I9" s="3"/>
    </row>
    <row r="10" customFormat="false" ht="15" hidden="false" customHeight="false" outlineLevel="0" collapsed="false">
      <c r="A10" s="3" t="s">
        <v>160</v>
      </c>
      <c r="B10" s="3" t="n">
        <v>100</v>
      </c>
      <c r="C10" s="3" t="s">
        <v>103</v>
      </c>
      <c r="D10" s="3" t="n">
        <v>1.1556</v>
      </c>
      <c r="E10" s="3" t="n">
        <v>0.0608</v>
      </c>
      <c r="F10" s="3" t="n">
        <v>4.0905</v>
      </c>
      <c r="G10" s="3" t="n">
        <v>0.5122</v>
      </c>
      <c r="H10" s="3"/>
      <c r="I10" s="3"/>
    </row>
    <row r="11" customFormat="false" ht="15" hidden="false" customHeight="false" outlineLevel="0" collapsed="false">
      <c r="A11" s="3" t="s">
        <v>160</v>
      </c>
      <c r="B11" s="3" t="n">
        <v>100</v>
      </c>
      <c r="C11" s="3" t="s">
        <v>104</v>
      </c>
      <c r="D11" s="3" t="n">
        <v>1.5322</v>
      </c>
      <c r="E11" s="3" t="n">
        <v>0.0848</v>
      </c>
      <c r="F11" s="3" t="n">
        <v>4.755</v>
      </c>
      <c r="G11" s="3" t="n">
        <v>0.7188</v>
      </c>
      <c r="H11" s="3"/>
      <c r="I11" s="3"/>
    </row>
    <row r="12" customFormat="false" ht="15" hidden="false" customHeight="false" outlineLevel="0" collapsed="false">
      <c r="A12" s="3" t="s">
        <v>160</v>
      </c>
      <c r="B12" s="3" t="n">
        <v>100</v>
      </c>
      <c r="C12" s="3" t="s">
        <v>150</v>
      </c>
      <c r="D12" s="3"/>
      <c r="E12" s="3"/>
      <c r="F12" s="3"/>
      <c r="G12" s="3"/>
      <c r="H12" s="3" t="n">
        <v>1.1801</v>
      </c>
      <c r="I12" s="3" t="n">
        <v>0.2431</v>
      </c>
    </row>
    <row r="13" customFormat="false" ht="15" hidden="false" customHeight="false" outlineLevel="0" collapsed="false">
      <c r="A13" s="3" t="s">
        <v>160</v>
      </c>
      <c r="B13" s="3" t="n">
        <v>100</v>
      </c>
      <c r="C13" s="3" t="s">
        <v>105</v>
      </c>
      <c r="D13" s="3" t="n">
        <v>0.8595</v>
      </c>
      <c r="E13" s="3" t="n">
        <v>0.0536</v>
      </c>
      <c r="F13" s="3" t="n">
        <v>2.4685</v>
      </c>
      <c r="G13" s="3" t="n">
        <v>0.417</v>
      </c>
      <c r="H13" s="3"/>
      <c r="I13" s="3"/>
    </row>
    <row r="14" customFormat="false" ht="15" hidden="false" customHeight="false" outlineLevel="0" collapsed="false">
      <c r="A14" s="3" t="s">
        <v>161</v>
      </c>
      <c r="B14" s="3" t="n">
        <v>1</v>
      </c>
      <c r="C14" s="3" t="s">
        <v>103</v>
      </c>
      <c r="D14" s="3" t="n">
        <v>3.2531</v>
      </c>
      <c r="E14" s="3" t="n">
        <v>0.0487</v>
      </c>
      <c r="F14" s="3" t="n">
        <v>6.6867</v>
      </c>
      <c r="G14" s="3" t="n">
        <v>0.437</v>
      </c>
      <c r="H14" s="3"/>
      <c r="I14" s="3"/>
    </row>
    <row r="15" customFormat="false" ht="15" hidden="false" customHeight="false" outlineLevel="0" collapsed="false">
      <c r="A15" s="3" t="s">
        <v>161</v>
      </c>
      <c r="B15" s="3" t="n">
        <v>1</v>
      </c>
      <c r="C15" s="3" t="s">
        <v>104</v>
      </c>
      <c r="D15" s="3" t="n">
        <v>5.7807</v>
      </c>
      <c r="E15" s="3" t="n">
        <v>0.1175</v>
      </c>
      <c r="F15" s="3" t="n">
        <v>10.9385</v>
      </c>
      <c r="G15" s="3" t="n">
        <v>0.9922</v>
      </c>
      <c r="H15" s="3"/>
      <c r="I15" s="3"/>
    </row>
    <row r="16" customFormat="false" ht="15" hidden="false" customHeight="false" outlineLevel="0" collapsed="false">
      <c r="A16" s="3" t="s">
        <v>161</v>
      </c>
      <c r="B16" s="3" t="n">
        <v>1</v>
      </c>
      <c r="C16" s="3" t="s">
        <v>150</v>
      </c>
      <c r="D16" s="3"/>
      <c r="E16" s="3"/>
      <c r="F16" s="3"/>
      <c r="G16" s="3"/>
      <c r="H16" s="3" t="n">
        <v>1.6421</v>
      </c>
      <c r="I16" s="3" t="n">
        <v>0.1825</v>
      </c>
    </row>
    <row r="17" customFormat="false" ht="15" hidden="false" customHeight="false" outlineLevel="0" collapsed="false">
      <c r="A17" s="3" t="s">
        <v>161</v>
      </c>
      <c r="B17" s="3" t="n">
        <v>1</v>
      </c>
      <c r="C17" s="3" t="s">
        <v>105</v>
      </c>
      <c r="D17" s="3" t="n">
        <v>0.8637</v>
      </c>
      <c r="E17" s="3" t="n">
        <v>0.0948</v>
      </c>
      <c r="F17" s="3" t="n">
        <v>2.2039</v>
      </c>
      <c r="G17" s="3" t="n">
        <v>0.3139</v>
      </c>
      <c r="H17" s="3"/>
      <c r="I17" s="3"/>
    </row>
    <row r="18" customFormat="false" ht="15" hidden="false" customHeight="false" outlineLevel="0" collapsed="false">
      <c r="A18" s="3" t="s">
        <v>161</v>
      </c>
      <c r="B18" s="3" t="n">
        <v>10</v>
      </c>
      <c r="C18" s="3" t="s">
        <v>103</v>
      </c>
      <c r="D18" s="3" t="n">
        <v>3.4219</v>
      </c>
      <c r="E18" s="3" t="n">
        <v>0.1651</v>
      </c>
      <c r="F18" s="3" t="n">
        <v>7.7552</v>
      </c>
      <c r="G18" s="3" t="n">
        <v>1.8163</v>
      </c>
      <c r="H18" s="3"/>
      <c r="I18" s="3"/>
    </row>
    <row r="19" customFormat="false" ht="15" hidden="false" customHeight="false" outlineLevel="0" collapsed="false">
      <c r="A19" s="3" t="s">
        <v>161</v>
      </c>
      <c r="B19" s="3" t="n">
        <v>10</v>
      </c>
      <c r="C19" s="3" t="s">
        <v>104</v>
      </c>
      <c r="D19" s="3" t="n">
        <v>5.939</v>
      </c>
      <c r="E19" s="3" t="n">
        <v>0.2062</v>
      </c>
      <c r="F19" s="3" t="n">
        <v>11.8881</v>
      </c>
      <c r="G19" s="3" t="n">
        <v>2.2155</v>
      </c>
      <c r="H19" s="3"/>
      <c r="I19" s="3"/>
    </row>
    <row r="20" customFormat="false" ht="15" hidden="false" customHeight="false" outlineLevel="0" collapsed="false">
      <c r="A20" s="3" t="s">
        <v>161</v>
      </c>
      <c r="B20" s="3" t="n">
        <v>10</v>
      </c>
      <c r="C20" s="3" t="s">
        <v>150</v>
      </c>
      <c r="D20" s="3"/>
      <c r="E20" s="3"/>
      <c r="F20" s="3"/>
      <c r="G20" s="3"/>
      <c r="H20" s="3" t="n">
        <v>1.5986</v>
      </c>
      <c r="I20" s="3" t="n">
        <v>0.4475</v>
      </c>
    </row>
    <row r="21" customFormat="false" ht="15" hidden="false" customHeight="false" outlineLevel="0" collapsed="false">
      <c r="A21" s="3" t="s">
        <v>161</v>
      </c>
      <c r="B21" s="3" t="n">
        <v>10</v>
      </c>
      <c r="C21" s="3" t="s">
        <v>105</v>
      </c>
      <c r="D21" s="3" t="n">
        <v>0.9914</v>
      </c>
      <c r="E21" s="3" t="n">
        <v>0.202</v>
      </c>
      <c r="F21" s="3" t="n">
        <v>3.4158</v>
      </c>
      <c r="G21" s="3" t="n">
        <v>1.6733</v>
      </c>
      <c r="H21" s="3"/>
      <c r="I21" s="3"/>
    </row>
    <row r="22" customFormat="false" ht="15" hidden="false" customHeight="false" outlineLevel="0" collapsed="false">
      <c r="A22" s="3" t="s">
        <v>161</v>
      </c>
      <c r="B22" s="3" t="n">
        <v>100</v>
      </c>
      <c r="C22" s="3" t="s">
        <v>103</v>
      </c>
      <c r="D22" s="3" t="n">
        <v>3.4036</v>
      </c>
      <c r="E22" s="3" t="n">
        <v>0.0796</v>
      </c>
      <c r="F22" s="3" t="n">
        <v>7.2631</v>
      </c>
      <c r="G22" s="3" t="n">
        <v>0.7513</v>
      </c>
      <c r="H22" s="3"/>
      <c r="I22" s="3"/>
    </row>
    <row r="23" customFormat="false" ht="15" hidden="false" customHeight="false" outlineLevel="0" collapsed="false">
      <c r="A23" s="3" t="s">
        <v>161</v>
      </c>
      <c r="B23" s="3" t="n">
        <v>100</v>
      </c>
      <c r="C23" s="3" t="s">
        <v>104</v>
      </c>
      <c r="D23" s="3" t="n">
        <v>5.989</v>
      </c>
      <c r="E23" s="3" t="n">
        <v>0.1981</v>
      </c>
      <c r="F23" s="3" t="n">
        <v>12.0937</v>
      </c>
      <c r="G23" s="3" t="n">
        <v>2.2165</v>
      </c>
      <c r="H23" s="3"/>
      <c r="I23" s="3"/>
    </row>
    <row r="24" customFormat="false" ht="15" hidden="false" customHeight="false" outlineLevel="0" collapsed="false">
      <c r="A24" s="3" t="s">
        <v>161</v>
      </c>
      <c r="B24" s="3" t="n">
        <v>100</v>
      </c>
      <c r="C24" s="3" t="s">
        <v>150</v>
      </c>
      <c r="D24" s="3"/>
      <c r="E24" s="3"/>
      <c r="F24" s="3"/>
      <c r="G24" s="3"/>
      <c r="H24" s="3" t="n">
        <v>1.6895</v>
      </c>
      <c r="I24" s="3" t="n">
        <v>0.4333</v>
      </c>
    </row>
    <row r="25" customFormat="false" ht="15" hidden="false" customHeight="false" outlineLevel="0" collapsed="false">
      <c r="A25" s="3" t="s">
        <v>161</v>
      </c>
      <c r="B25" s="3" t="n">
        <v>100</v>
      </c>
      <c r="C25" s="3" t="s">
        <v>105</v>
      </c>
      <c r="D25" s="3" t="n">
        <v>0.9055</v>
      </c>
      <c r="E25" s="3" t="n">
        <v>0.0745</v>
      </c>
      <c r="F25" s="3" t="n">
        <v>2.2797</v>
      </c>
      <c r="G25" s="3" t="n">
        <v>0.1614</v>
      </c>
      <c r="H25" s="3"/>
      <c r="I25" s="3"/>
    </row>
    <row r="26" customFormat="false" ht="15" hidden="false" customHeight="false" outlineLevel="0" collapsed="false">
      <c r="A26" s="3" t="s">
        <v>162</v>
      </c>
      <c r="B26" s="3" t="n">
        <v>1</v>
      </c>
      <c r="C26" s="3" t="s">
        <v>103</v>
      </c>
      <c r="D26" s="3" t="n">
        <v>3.4128</v>
      </c>
      <c r="E26" s="3" t="n">
        <v>0.2008</v>
      </c>
      <c r="F26" s="3" t="n">
        <v>7.2444</v>
      </c>
      <c r="G26" s="3" t="n">
        <v>1.6411</v>
      </c>
      <c r="H26" s="3"/>
      <c r="I26" s="3"/>
    </row>
    <row r="27" customFormat="false" ht="15" hidden="false" customHeight="false" outlineLevel="0" collapsed="false">
      <c r="A27" s="3" t="s">
        <v>162</v>
      </c>
      <c r="B27" s="3" t="n">
        <v>1</v>
      </c>
      <c r="C27" s="3" t="s">
        <v>104</v>
      </c>
      <c r="D27" s="3" t="n">
        <v>5.9673</v>
      </c>
      <c r="E27" s="3" t="n">
        <v>0.0928</v>
      </c>
      <c r="F27" s="3" t="n">
        <v>12.0778</v>
      </c>
      <c r="G27" s="3" t="n">
        <v>0.3301</v>
      </c>
      <c r="H27" s="3"/>
      <c r="I27" s="3"/>
    </row>
    <row r="28" customFormat="false" ht="15" hidden="false" customHeight="false" outlineLevel="0" collapsed="false">
      <c r="A28" s="3" t="s">
        <v>162</v>
      </c>
      <c r="B28" s="3" t="n">
        <v>1</v>
      </c>
      <c r="C28" s="3" t="s">
        <v>150</v>
      </c>
      <c r="D28" s="3"/>
      <c r="E28" s="3"/>
      <c r="F28" s="3"/>
      <c r="G28" s="3"/>
      <c r="H28" s="3" t="n">
        <v>1.7229</v>
      </c>
      <c r="I28" s="3" t="n">
        <v>0.314</v>
      </c>
    </row>
    <row r="29" customFormat="false" ht="15" hidden="false" customHeight="false" outlineLevel="0" collapsed="false">
      <c r="A29" s="3" t="s">
        <v>162</v>
      </c>
      <c r="B29" s="3" t="n">
        <v>1</v>
      </c>
      <c r="C29" s="3" t="s">
        <v>105</v>
      </c>
      <c r="D29" s="3" t="n">
        <v>0.7856</v>
      </c>
      <c r="E29" s="3" t="n">
        <v>0.0416</v>
      </c>
      <c r="F29" s="3" t="n">
        <v>2.0125</v>
      </c>
      <c r="G29" s="3" t="n">
        <v>0.2464</v>
      </c>
      <c r="H29" s="3"/>
      <c r="I29" s="3"/>
    </row>
    <row r="30" customFormat="false" ht="15" hidden="false" customHeight="false" outlineLevel="0" collapsed="false">
      <c r="A30" s="3" t="s">
        <v>162</v>
      </c>
      <c r="B30" s="3" t="n">
        <v>10</v>
      </c>
      <c r="C30" s="3" t="s">
        <v>103</v>
      </c>
      <c r="D30" s="3" t="n">
        <v>3.6479</v>
      </c>
      <c r="E30" s="3" t="n">
        <v>0.2462</v>
      </c>
      <c r="F30" s="3" t="n">
        <v>10.3664</v>
      </c>
      <c r="G30" s="3" t="n">
        <v>4.894</v>
      </c>
      <c r="H30" s="3"/>
      <c r="I30" s="3"/>
    </row>
    <row r="31" customFormat="false" ht="15" hidden="false" customHeight="false" outlineLevel="0" collapsed="false">
      <c r="A31" s="3" t="s">
        <v>162</v>
      </c>
      <c r="B31" s="3" t="n">
        <v>10</v>
      </c>
      <c r="C31" s="3" t="s">
        <v>104</v>
      </c>
      <c r="D31" s="3" t="n">
        <v>6.315</v>
      </c>
      <c r="E31" s="3" t="n">
        <v>0.5135</v>
      </c>
      <c r="F31" s="3" t="n">
        <v>15.0324</v>
      </c>
      <c r="G31" s="3" t="n">
        <v>5.7742</v>
      </c>
      <c r="H31" s="3"/>
      <c r="I31" s="3"/>
    </row>
    <row r="32" customFormat="false" ht="15" hidden="false" customHeight="false" outlineLevel="0" collapsed="false">
      <c r="A32" s="3" t="s">
        <v>162</v>
      </c>
      <c r="B32" s="3" t="n">
        <v>10</v>
      </c>
      <c r="C32" s="3" t="s">
        <v>150</v>
      </c>
      <c r="D32" s="3"/>
      <c r="E32" s="3"/>
      <c r="F32" s="3"/>
      <c r="G32" s="3"/>
      <c r="H32" s="3" t="n">
        <v>1.7432</v>
      </c>
      <c r="I32" s="3" t="n">
        <v>1.1709</v>
      </c>
    </row>
    <row r="33" customFormat="false" ht="15" hidden="false" customHeight="false" outlineLevel="0" collapsed="false">
      <c r="A33" s="3" t="s">
        <v>162</v>
      </c>
      <c r="B33" s="3" t="n">
        <v>10</v>
      </c>
      <c r="C33" s="3" t="s">
        <v>105</v>
      </c>
      <c r="D33" s="3" t="n">
        <v>0.9234</v>
      </c>
      <c r="E33" s="3" t="n">
        <v>0.1484</v>
      </c>
      <c r="F33" s="3" t="n">
        <v>2.5051</v>
      </c>
      <c r="G33" s="3" t="n">
        <v>0.7074</v>
      </c>
      <c r="H33" s="3"/>
      <c r="I33" s="3"/>
    </row>
    <row r="34" customFormat="false" ht="15" hidden="false" customHeight="false" outlineLevel="0" collapsed="false">
      <c r="A34" s="3" t="s">
        <v>162</v>
      </c>
      <c r="B34" s="3" t="n">
        <v>100</v>
      </c>
      <c r="C34" s="3" t="s">
        <v>103</v>
      </c>
      <c r="D34" s="3" t="n">
        <v>3.6126</v>
      </c>
      <c r="E34" s="3" t="n">
        <v>0.2281</v>
      </c>
      <c r="F34" s="3" t="n">
        <v>9.7203</v>
      </c>
      <c r="G34" s="3" t="n">
        <v>4.6066</v>
      </c>
      <c r="H34" s="3"/>
      <c r="I34" s="3"/>
    </row>
    <row r="35" customFormat="false" ht="15" hidden="false" customHeight="false" outlineLevel="0" collapsed="false">
      <c r="A35" s="3" t="s">
        <v>162</v>
      </c>
      <c r="B35" s="3" t="n">
        <v>100</v>
      </c>
      <c r="C35" s="3" t="s">
        <v>104</v>
      </c>
      <c r="D35" s="3" t="n">
        <v>6.2005</v>
      </c>
      <c r="E35" s="3" t="n">
        <v>0.1534</v>
      </c>
      <c r="F35" s="3" t="n">
        <v>13.677</v>
      </c>
      <c r="G35" s="3" t="n">
        <v>1.675</v>
      </c>
      <c r="H35" s="3"/>
      <c r="I35" s="3"/>
    </row>
    <row r="36" customFormat="false" ht="15" hidden="false" customHeight="false" outlineLevel="0" collapsed="false">
      <c r="A36" s="3" t="s">
        <v>162</v>
      </c>
      <c r="B36" s="3" t="n">
        <v>100</v>
      </c>
      <c r="C36" s="3" t="s">
        <v>150</v>
      </c>
      <c r="D36" s="3"/>
      <c r="E36" s="3"/>
      <c r="F36" s="3"/>
      <c r="G36" s="3"/>
      <c r="H36" s="3" t="n">
        <v>1.6154</v>
      </c>
      <c r="I36" s="3" t="n">
        <v>0.6478</v>
      </c>
    </row>
    <row r="37" customFormat="false" ht="15" hidden="false" customHeight="false" outlineLevel="0" collapsed="false">
      <c r="A37" s="3" t="s">
        <v>162</v>
      </c>
      <c r="B37" s="3" t="n">
        <v>100</v>
      </c>
      <c r="C37" s="3" t="s">
        <v>105</v>
      </c>
      <c r="D37" s="3" t="n">
        <v>0.921</v>
      </c>
      <c r="E37" s="3" t="n">
        <v>0.0936</v>
      </c>
      <c r="F37" s="3" t="n">
        <v>2.3529</v>
      </c>
      <c r="G37" s="3" t="n">
        <v>0.1877</v>
      </c>
      <c r="H37" s="3"/>
      <c r="I37" s="3"/>
    </row>
    <row r="38" customFormat="false" ht="15" hidden="false" customHeight="false" outlineLevel="0" collapsed="false">
      <c r="A38" s="3" t="s">
        <v>163</v>
      </c>
      <c r="B38" s="3" t="n">
        <v>100</v>
      </c>
      <c r="C38" s="3" t="s">
        <v>103</v>
      </c>
      <c r="D38" s="3" t="n">
        <v>12.2795</v>
      </c>
      <c r="E38" s="3" t="n">
        <v>0.0971</v>
      </c>
      <c r="F38" s="3" t="n">
        <v>28.6903</v>
      </c>
      <c r="G38" s="3" t="n">
        <v>0.9446</v>
      </c>
      <c r="H38" s="3"/>
      <c r="I38" s="3"/>
    </row>
    <row r="39" customFormat="false" ht="15" hidden="false" customHeight="false" outlineLevel="0" collapsed="false">
      <c r="A39" s="3" t="s">
        <v>163</v>
      </c>
      <c r="B39" s="3" t="n">
        <v>100</v>
      </c>
      <c r="C39" s="3" t="s">
        <v>104</v>
      </c>
      <c r="D39" s="3" t="n">
        <v>24.3786</v>
      </c>
      <c r="E39" s="3" t="n">
        <v>0.386</v>
      </c>
      <c r="F39" s="3" t="n">
        <v>42.4799</v>
      </c>
      <c r="G39" s="3" t="n">
        <v>2.4808</v>
      </c>
      <c r="H39" s="3"/>
      <c r="I39" s="3"/>
    </row>
    <row r="40" customFormat="false" ht="15" hidden="false" customHeight="false" outlineLevel="0" collapsed="false">
      <c r="A40" s="3" t="s">
        <v>163</v>
      </c>
      <c r="B40" s="3" t="n">
        <v>100</v>
      </c>
      <c r="C40" s="3" t="s">
        <v>150</v>
      </c>
      <c r="D40" s="3"/>
      <c r="E40" s="3"/>
      <c r="F40" s="3"/>
      <c r="G40" s="3"/>
      <c r="H40" s="3" t="n">
        <v>1.4804</v>
      </c>
      <c r="I40" s="3" t="n">
        <v>0.0643</v>
      </c>
    </row>
    <row r="41" customFormat="false" ht="15" hidden="false" customHeight="false" outlineLevel="0" collapsed="false">
      <c r="A41" s="3" t="s">
        <v>163</v>
      </c>
      <c r="B41" s="3" t="n">
        <v>100</v>
      </c>
      <c r="C41" s="3" t="s">
        <v>105</v>
      </c>
      <c r="D41" s="3" t="n">
        <v>0.9252</v>
      </c>
      <c r="E41" s="3" t="n">
        <v>0.0798</v>
      </c>
      <c r="F41" s="3" t="n">
        <v>2.5394</v>
      </c>
      <c r="G41" s="3" t="n">
        <v>0.6358</v>
      </c>
      <c r="H41" s="3"/>
      <c r="I4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15"/>
    <col collapsed="false" customWidth="true" hidden="false" outlineLevel="0" max="5" min="3" style="0" width="14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</row>
    <row r="2" customFormat="false" ht="15" hidden="false" customHeight="false" outlineLevel="0" collapsed="false">
      <c r="A2" s="3" t="s">
        <v>160</v>
      </c>
      <c r="B2" s="3" t="n">
        <v>0.1696</v>
      </c>
      <c r="C2" s="3" t="n">
        <v>0.1539</v>
      </c>
      <c r="D2" s="3" t="n">
        <v>0.2439</v>
      </c>
      <c r="E2" s="3" t="n">
        <v>0.4054</v>
      </c>
      <c r="F2" s="3" t="n">
        <v>0.0929</v>
      </c>
    </row>
    <row r="3" customFormat="false" ht="15" hidden="false" customHeight="false" outlineLevel="0" collapsed="false">
      <c r="A3" s="3" t="s">
        <v>170</v>
      </c>
      <c r="B3" s="3" t="n">
        <v>0.2323</v>
      </c>
      <c r="C3" s="3" t="n">
        <v>0.2021</v>
      </c>
      <c r="D3" s="3" t="n">
        <v>0.4132</v>
      </c>
      <c r="E3" s="3" t="n">
        <v>0.6305</v>
      </c>
      <c r="F3" s="3" t="n">
        <v>0.0986</v>
      </c>
    </row>
    <row r="4" customFormat="false" ht="15" hidden="false" customHeight="false" outlineLevel="0" collapsed="false">
      <c r="A4" s="3" t="s">
        <v>171</v>
      </c>
      <c r="B4" s="3" t="n">
        <v>0.1991</v>
      </c>
      <c r="C4" s="3" t="n">
        <v>0.1886</v>
      </c>
      <c r="D4" s="3" t="n">
        <v>0.2745</v>
      </c>
      <c r="E4" s="3" t="n">
        <v>0.4006</v>
      </c>
      <c r="F4" s="3" t="n">
        <v>0.0458</v>
      </c>
    </row>
    <row r="5" customFormat="false" ht="15" hidden="false" customHeight="false" outlineLevel="0" collapsed="false">
      <c r="A5" s="3" t="s">
        <v>172</v>
      </c>
      <c r="B5" s="3" t="n">
        <v>0.2785</v>
      </c>
      <c r="C5" s="3" t="n">
        <v>0.1949</v>
      </c>
      <c r="D5" s="3" t="n">
        <v>0.5222</v>
      </c>
      <c r="E5" s="3" t="n">
        <v>1.0148</v>
      </c>
      <c r="F5" s="3" t="n">
        <v>0.6854</v>
      </c>
    </row>
    <row r="6" customFormat="false" ht="15" hidden="false" customHeight="false" outlineLevel="0" collapsed="false">
      <c r="A6" s="3" t="s">
        <v>173</v>
      </c>
      <c r="B6" s="3" t="n">
        <v>0.283</v>
      </c>
      <c r="C6" s="3" t="n">
        <v>0.2043</v>
      </c>
      <c r="D6" s="3" t="n">
        <v>0.7144</v>
      </c>
      <c r="E6" s="3" t="n">
        <v>1.3657</v>
      </c>
      <c r="F6" s="3" t="n">
        <v>0.2431</v>
      </c>
    </row>
    <row r="7" customFormat="false" ht="15" hidden="false" customHeight="false" outlineLevel="0" collapsed="false">
      <c r="A7" s="3" t="s">
        <v>161</v>
      </c>
      <c r="B7" s="3" t="n">
        <v>2.8817</v>
      </c>
      <c r="C7" s="3" t="n">
        <v>2.6866</v>
      </c>
      <c r="D7" s="3" t="n">
        <v>4.023</v>
      </c>
      <c r="E7" s="3" t="n">
        <v>5.3635</v>
      </c>
      <c r="F7" s="3" t="n">
        <v>0.6075</v>
      </c>
    </row>
    <row r="8" customFormat="false" ht="15" hidden="false" customHeight="false" outlineLevel="0" collapsed="false">
      <c r="A8" s="3" t="s">
        <v>162</v>
      </c>
      <c r="B8" s="3" t="n">
        <v>2.7455</v>
      </c>
      <c r="C8" s="3" t="n">
        <v>2.6548</v>
      </c>
      <c r="D8" s="3" t="n">
        <v>4.2955</v>
      </c>
      <c r="E8" s="3" t="n">
        <v>5.4417</v>
      </c>
      <c r="F8" s="3" t="n">
        <v>0.8633</v>
      </c>
    </row>
    <row r="9" customFormat="false" ht="15" hidden="false" customHeight="false" outlineLevel="0" collapsed="false">
      <c r="A9" s="3" t="s">
        <v>163</v>
      </c>
      <c r="B9" s="3" t="n">
        <v>11.0674</v>
      </c>
      <c r="C9" s="3" t="n">
        <v>10.8587</v>
      </c>
      <c r="D9" s="3" t="n">
        <v>12.2788</v>
      </c>
      <c r="E9" s="3" t="n">
        <v>14.0443</v>
      </c>
      <c r="F9" s="3" t="n">
        <v>0.8232</v>
      </c>
    </row>
    <row r="10" customFormat="false" ht="15" hidden="false" customHeight="false" outlineLevel="0" collapsed="false">
      <c r="A10" s="3" t="s">
        <v>174</v>
      </c>
      <c r="B10" s="3" t="n">
        <v>11.6037</v>
      </c>
      <c r="C10" s="3" t="n">
        <v>11.2541</v>
      </c>
      <c r="D10" s="3" t="n">
        <v>17.1301</v>
      </c>
      <c r="E10" s="3" t="n">
        <v>19.9601</v>
      </c>
      <c r="F10" s="3" t="n">
        <v>3.2602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20"/>
    <col collapsed="false" customWidth="true" hidden="false" outlineLevel="0" max="3" min="3" style="0" width="21"/>
    <col collapsed="false" customWidth="true" hidden="false" outlineLevel="0" max="4" min="4" style="0" width="20"/>
    <col collapsed="false" customWidth="true" hidden="false" outlineLevel="0" max="6" min="5" style="0" width="19"/>
    <col collapsed="false" customWidth="true" hidden="false" outlineLevel="0" max="7" min="7" style="0" width="20"/>
    <col collapsed="false" customWidth="true" hidden="false" outlineLevel="0" max="8" min="8" style="0" width="19"/>
    <col collapsed="false" customWidth="true" hidden="false" outlineLevel="0" max="9" min="9" style="0" width="18"/>
    <col collapsed="false" customWidth="true" hidden="false" outlineLevel="0" max="10" min="10" style="0" width="19"/>
    <col collapsed="false" customWidth="true" hidden="false" outlineLevel="0" max="11" min="11" style="0" width="20"/>
    <col collapsed="false" customWidth="true" hidden="false" outlineLevel="0" max="12" min="12" style="0" width="19"/>
    <col collapsed="false" customWidth="true" hidden="false" outlineLevel="0" max="13" min="13" style="0" width="18"/>
    <col collapsed="false" customWidth="true" hidden="false" outlineLevel="0" max="14" min="14" style="0" width="19"/>
    <col collapsed="false" customWidth="true" hidden="false" outlineLevel="0" max="15" min="15" style="0" width="20"/>
    <col collapsed="false" customWidth="true" hidden="false" outlineLevel="0" max="16" min="16" style="0" width="19"/>
    <col collapsed="false" customWidth="true" hidden="false" outlineLevel="0" max="18" min="17" style="0" width="18"/>
    <col collapsed="false" customWidth="true" hidden="false" outlineLevel="0" max="19" min="19" style="0" width="19"/>
    <col collapsed="false" customWidth="true" hidden="false" outlineLevel="0" max="20" min="20" style="0" width="18"/>
    <col collapsed="false" customWidth="true" hidden="false" outlineLevel="0" max="21" min="21" style="0" width="17"/>
  </cols>
  <sheetData>
    <row r="1" customFormat="false" ht="15" hidden="false" customHeight="false" outlineLevel="0" collapsed="false">
      <c r="A1" s="1" t="s">
        <v>175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99</v>
      </c>
      <c r="O1" s="1" t="s">
        <v>100</v>
      </c>
      <c r="P1" s="1" t="s">
        <v>101</v>
      </c>
      <c r="Q1" s="1" t="s">
        <v>102</v>
      </c>
      <c r="R1" s="1" t="s">
        <v>180</v>
      </c>
      <c r="S1" s="1" t="s">
        <v>181</v>
      </c>
      <c r="T1" s="1" t="s">
        <v>182</v>
      </c>
      <c r="U1" s="1" t="s">
        <v>183</v>
      </c>
    </row>
    <row r="2" customFormat="false" ht="15" hidden="false" customHeight="false" outlineLevel="0" collapsed="false">
      <c r="A2" s="3" t="s">
        <v>184</v>
      </c>
      <c r="B2" s="3" t="n">
        <v>0.42475</v>
      </c>
      <c r="C2" s="3" t="n">
        <v>0.25186</v>
      </c>
      <c r="D2" s="3" t="n">
        <v>0.19028</v>
      </c>
      <c r="E2" s="3" t="n">
        <v>0.09818</v>
      </c>
      <c r="F2" s="3" t="n">
        <v>0.28345</v>
      </c>
      <c r="G2" s="3" t="n">
        <v>0.2125</v>
      </c>
      <c r="H2" s="3" t="n">
        <v>0.17832</v>
      </c>
      <c r="I2" s="3" t="n">
        <v>0.04252</v>
      </c>
      <c r="J2" s="3" t="n">
        <v>0.99259</v>
      </c>
      <c r="K2" s="3" t="n">
        <v>0.42796</v>
      </c>
      <c r="L2" s="3" t="n">
        <v>0.24947</v>
      </c>
      <c r="M2" s="3" t="n">
        <v>0.31801</v>
      </c>
      <c r="N2" s="3" t="n">
        <v>2.75281</v>
      </c>
      <c r="O2" s="3" t="n">
        <v>0.87831</v>
      </c>
      <c r="P2" s="3" t="n">
        <v>0.33678</v>
      </c>
      <c r="Q2" s="3" t="n">
        <v>1.04942</v>
      </c>
      <c r="R2" s="3" t="n">
        <v>0.90085</v>
      </c>
      <c r="S2" s="3" t="n">
        <v>0.22862</v>
      </c>
      <c r="T2" s="3" t="n">
        <v>0.04683</v>
      </c>
      <c r="U2" s="3" t="n">
        <v>0.37609</v>
      </c>
    </row>
    <row r="3" customFormat="false" ht="15" hidden="false" customHeight="false" outlineLevel="0" collapsed="false">
      <c r="A3" s="3" t="s">
        <v>185</v>
      </c>
      <c r="B3" s="3" t="n">
        <v>0.34964</v>
      </c>
      <c r="C3" s="3" t="n">
        <v>0.27998</v>
      </c>
      <c r="D3" s="3" t="n">
        <v>0.23341</v>
      </c>
      <c r="E3" s="3" t="n">
        <v>0.04903</v>
      </c>
      <c r="F3" s="3" t="n">
        <v>0.26363</v>
      </c>
      <c r="G3" s="3" t="n">
        <v>0.23187</v>
      </c>
      <c r="H3" s="3" t="n">
        <v>0.19646</v>
      </c>
      <c r="I3" s="3" t="n">
        <v>0.027</v>
      </c>
      <c r="J3" s="3" t="n">
        <v>0.78179</v>
      </c>
      <c r="K3" s="3" t="n">
        <v>0.52793</v>
      </c>
      <c r="L3" s="3" t="n">
        <v>0.38007</v>
      </c>
      <c r="M3" s="3" t="n">
        <v>0.16866</v>
      </c>
      <c r="N3" s="3" t="n">
        <v>2.03893</v>
      </c>
      <c r="O3" s="3" t="n">
        <v>1.09061</v>
      </c>
      <c r="P3" s="3" t="n">
        <v>0.5472</v>
      </c>
      <c r="Q3" s="3" t="n">
        <v>0.62241</v>
      </c>
      <c r="R3" s="3" t="n">
        <v>0.36046</v>
      </c>
      <c r="S3" s="3" t="n">
        <v>0.19601</v>
      </c>
      <c r="T3" s="3" t="n">
        <v>0.10551</v>
      </c>
      <c r="U3" s="3" t="n">
        <v>0.10789</v>
      </c>
    </row>
    <row r="4" customFormat="false" ht="15" hidden="false" customHeight="false" outlineLevel="0" collapsed="false">
      <c r="A4" s="3" t="s">
        <v>186</v>
      </c>
      <c r="B4" s="3" t="n">
        <v>0.73904</v>
      </c>
      <c r="C4" s="3" t="n">
        <v>0.46776</v>
      </c>
      <c r="D4" s="3" t="n">
        <v>0.38061</v>
      </c>
      <c r="E4" s="3" t="n">
        <v>0.15265</v>
      </c>
      <c r="F4" s="3" t="n">
        <v>0.49537</v>
      </c>
      <c r="G4" s="3" t="n">
        <v>0.39327</v>
      </c>
      <c r="H4" s="3" t="n">
        <v>0.34905</v>
      </c>
      <c r="I4" s="3" t="n">
        <v>0.05961</v>
      </c>
      <c r="J4" s="3" t="n">
        <v>1.83014</v>
      </c>
      <c r="K4" s="3" t="n">
        <v>0.83402</v>
      </c>
      <c r="L4" s="3" t="n">
        <v>0.53933</v>
      </c>
      <c r="M4" s="3" t="n">
        <v>0.55862</v>
      </c>
      <c r="N4" s="3" t="n">
        <v>3.88815</v>
      </c>
      <c r="O4" s="3" t="n">
        <v>1.51604</v>
      </c>
      <c r="P4" s="3" t="n">
        <v>0.78971</v>
      </c>
      <c r="Q4" s="3" t="n">
        <v>1.3324</v>
      </c>
      <c r="R4" s="3" t="n">
        <v>0.93234</v>
      </c>
      <c r="S4" s="3" t="n">
        <v>0.30535</v>
      </c>
      <c r="T4" s="3" t="n">
        <v>0.11255</v>
      </c>
      <c r="U4" s="3" t="n">
        <v>0.35141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5" min="4" style="0" width="13"/>
    <col collapsed="false" customWidth="true" hidden="false" outlineLevel="0" max="6" min="6" style="0" width="25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" t="s">
        <v>159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138</v>
      </c>
    </row>
    <row r="2" customFormat="false" ht="15" hidden="false" customHeight="false" outlineLevel="0" collapsed="false">
      <c r="A2" s="3" t="s">
        <v>160</v>
      </c>
      <c r="B2" s="3" t="s">
        <v>192</v>
      </c>
      <c r="C2" s="3" t="n">
        <v>1.7385</v>
      </c>
      <c r="D2" s="3" t="n">
        <v>1.5578</v>
      </c>
      <c r="E2" s="3" t="n">
        <v>5.1877</v>
      </c>
      <c r="F2" s="3"/>
      <c r="G2" s="3" t="n">
        <v>1</v>
      </c>
    </row>
    <row r="3" customFormat="false" ht="15" hidden="false" customHeight="false" outlineLevel="0" collapsed="false">
      <c r="A3" s="3" t="s">
        <v>160</v>
      </c>
      <c r="B3" s="3" t="s">
        <v>193</v>
      </c>
      <c r="C3" s="3" t="n">
        <v>1.4674</v>
      </c>
      <c r="D3" s="3" t="n">
        <v>1.211</v>
      </c>
      <c r="E3" s="3" t="n">
        <v>4.5438</v>
      </c>
      <c r="F3" s="3"/>
      <c r="G3" s="3" t="n">
        <v>0.338</v>
      </c>
    </row>
    <row r="4" customFormat="false" ht="15" hidden="false" customHeight="false" outlineLevel="0" collapsed="false">
      <c r="A4" s="3" t="s">
        <v>160</v>
      </c>
      <c r="B4" s="3" t="s">
        <v>194</v>
      </c>
      <c r="C4" s="3"/>
      <c r="D4" s="3"/>
      <c r="E4" s="3"/>
      <c r="F4" s="3" t="n">
        <v>0.662</v>
      </c>
      <c r="G4" s="3"/>
    </row>
    <row r="5" customFormat="false" ht="15" hidden="false" customHeight="false" outlineLevel="0" collapsed="false">
      <c r="A5" s="3" t="s">
        <v>162</v>
      </c>
      <c r="B5" s="3" t="s">
        <v>192</v>
      </c>
      <c r="C5" s="3" t="n">
        <v>4.0096</v>
      </c>
      <c r="D5" s="3" t="n">
        <v>3.8328</v>
      </c>
      <c r="E5" s="3" t="n">
        <v>8.6591</v>
      </c>
      <c r="F5" s="3"/>
      <c r="G5" s="3" t="n">
        <v>1</v>
      </c>
    </row>
    <row r="6" customFormat="false" ht="15" hidden="false" customHeight="false" outlineLevel="0" collapsed="false">
      <c r="A6" s="3" t="s">
        <v>162</v>
      </c>
      <c r="B6" s="3" t="s">
        <v>193</v>
      </c>
      <c r="C6" s="3" t="n">
        <v>3.6253</v>
      </c>
      <c r="D6" s="3" t="n">
        <v>3.4728</v>
      </c>
      <c r="E6" s="3" t="n">
        <v>7.8033</v>
      </c>
      <c r="F6" s="3"/>
      <c r="G6" s="3" t="n">
        <v>0.338</v>
      </c>
    </row>
    <row r="7" customFormat="false" ht="15" hidden="false" customHeight="false" outlineLevel="0" collapsed="false">
      <c r="A7" s="3" t="s">
        <v>162</v>
      </c>
      <c r="B7" s="3" t="s">
        <v>194</v>
      </c>
      <c r="C7" s="3"/>
      <c r="D7" s="3"/>
      <c r="E7" s="3"/>
      <c r="F7" s="3" t="n">
        <v>0.662</v>
      </c>
      <c r="G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3"/>
    <col collapsed="false" customWidth="true" hidden="false" outlineLevel="0" max="4" min="4" style="0" width="18"/>
    <col collapsed="false" customWidth="true" hidden="false" outlineLevel="0" max="5" min="5" style="0" width="19"/>
    <col collapsed="false" customWidth="true" hidden="false" outlineLevel="0" max="6" min="6" style="0" width="18"/>
    <col collapsed="false" customWidth="true" hidden="false" outlineLevel="0" max="7" min="7" style="0" width="17"/>
  </cols>
  <sheetData>
    <row r="1" customFormat="false" ht="15" hidden="false" customHeight="false" outlineLevel="0" collapsed="false">
      <c r="A1" s="1" t="s">
        <v>145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</row>
    <row r="2" customFormat="false" ht="15" hidden="false" customHeight="false" outlineLevel="0" collapsed="false">
      <c r="A2" s="3" t="n">
        <v>10</v>
      </c>
      <c r="B2" s="3" t="n">
        <v>10</v>
      </c>
      <c r="C2" s="3" t="n">
        <v>240</v>
      </c>
      <c r="D2" s="3" t="n">
        <v>488</v>
      </c>
      <c r="E2" s="3" t="n">
        <v>488</v>
      </c>
      <c r="F2" s="3" t="n">
        <v>488</v>
      </c>
      <c r="G2" s="3" t="n">
        <v>0</v>
      </c>
    </row>
    <row r="3" customFormat="false" ht="15" hidden="false" customHeight="false" outlineLevel="0" collapsed="false">
      <c r="A3" s="3" t="n">
        <v>10</v>
      </c>
      <c r="B3" s="3" t="n">
        <v>1000</v>
      </c>
      <c r="C3" s="3" t="n">
        <v>240</v>
      </c>
      <c r="D3" s="3" t="n">
        <v>488</v>
      </c>
      <c r="E3" s="3" t="n">
        <v>488</v>
      </c>
      <c r="F3" s="3" t="n">
        <v>488</v>
      </c>
      <c r="G3" s="3" t="n">
        <v>0</v>
      </c>
    </row>
    <row r="4" customFormat="false" ht="15" hidden="false" customHeight="false" outlineLevel="0" collapsed="false">
      <c r="A4" s="3" t="n">
        <v>10</v>
      </c>
      <c r="B4" s="3" t="n">
        <v>5000</v>
      </c>
      <c r="C4" s="3" t="n">
        <v>240</v>
      </c>
      <c r="D4" s="3" t="n">
        <v>488</v>
      </c>
      <c r="E4" s="3" t="n">
        <v>488</v>
      </c>
      <c r="F4" s="3" t="n">
        <v>488</v>
      </c>
      <c r="G4" s="3" t="n">
        <v>0</v>
      </c>
    </row>
    <row r="5" customFormat="false" ht="15" hidden="false" customHeight="false" outlineLevel="0" collapsed="false">
      <c r="A5" s="3" t="n">
        <v>10</v>
      </c>
      <c r="B5" s="3" t="n">
        <v>10000</v>
      </c>
      <c r="C5" s="3" t="n">
        <v>240</v>
      </c>
      <c r="D5" s="3" t="n">
        <v>488</v>
      </c>
      <c r="E5" s="3" t="n">
        <v>488</v>
      </c>
      <c r="F5" s="3" t="n">
        <v>488</v>
      </c>
      <c r="G5" s="3" t="n">
        <v>0</v>
      </c>
    </row>
    <row r="6" customFormat="false" ht="15" hidden="false" customHeight="false" outlineLevel="0" collapsed="false">
      <c r="A6" s="3" t="n">
        <v>10</v>
      </c>
      <c r="B6" s="3" t="n">
        <v>20000</v>
      </c>
      <c r="C6" s="3" t="n">
        <v>240</v>
      </c>
      <c r="D6" s="3" t="n">
        <v>488</v>
      </c>
      <c r="E6" s="3" t="n">
        <v>488</v>
      </c>
      <c r="F6" s="3" t="n">
        <v>488</v>
      </c>
      <c r="G6" s="3" t="n">
        <v>0</v>
      </c>
    </row>
    <row r="7" customFormat="false" ht="15" hidden="false" customHeight="false" outlineLevel="0" collapsed="false">
      <c r="A7" s="3" t="n">
        <v>30</v>
      </c>
      <c r="B7" s="3" t="n">
        <v>30</v>
      </c>
      <c r="C7" s="3" t="n">
        <v>720</v>
      </c>
      <c r="D7" s="3" t="n">
        <v>1064</v>
      </c>
      <c r="E7" s="3" t="n">
        <v>1064</v>
      </c>
      <c r="F7" s="3" t="n">
        <v>1064</v>
      </c>
      <c r="G7" s="3" t="n">
        <v>0</v>
      </c>
    </row>
    <row r="8" customFormat="false" ht="15" hidden="false" customHeight="false" outlineLevel="0" collapsed="false">
      <c r="A8" s="3" t="n">
        <v>30</v>
      </c>
      <c r="B8" s="3" t="n">
        <v>1000</v>
      </c>
      <c r="C8" s="3" t="n">
        <v>720</v>
      </c>
      <c r="D8" s="3" t="n">
        <v>1064</v>
      </c>
      <c r="E8" s="3" t="n">
        <v>1064</v>
      </c>
      <c r="F8" s="3" t="n">
        <v>1064</v>
      </c>
      <c r="G8" s="3" t="n">
        <v>0</v>
      </c>
    </row>
    <row r="9" customFormat="false" ht="15" hidden="false" customHeight="false" outlineLevel="0" collapsed="false">
      <c r="A9" s="3" t="n">
        <v>30</v>
      </c>
      <c r="B9" s="3" t="n">
        <v>5000</v>
      </c>
      <c r="C9" s="3" t="n">
        <v>720</v>
      </c>
      <c r="D9" s="3" t="n">
        <v>1064</v>
      </c>
      <c r="E9" s="3" t="n">
        <v>1064</v>
      </c>
      <c r="F9" s="3" t="n">
        <v>1064</v>
      </c>
      <c r="G9" s="3" t="n">
        <v>0</v>
      </c>
    </row>
    <row r="10" customFormat="false" ht="15" hidden="false" customHeight="false" outlineLevel="0" collapsed="false">
      <c r="A10" s="3" t="n">
        <v>30</v>
      </c>
      <c r="B10" s="3" t="n">
        <v>10000</v>
      </c>
      <c r="C10" s="3" t="n">
        <v>720</v>
      </c>
      <c r="D10" s="3" t="n">
        <v>1064</v>
      </c>
      <c r="E10" s="3" t="n">
        <v>1064</v>
      </c>
      <c r="F10" s="3" t="n">
        <v>1064</v>
      </c>
      <c r="G10" s="3" t="n">
        <v>0</v>
      </c>
    </row>
    <row r="11" customFormat="false" ht="15" hidden="false" customHeight="false" outlineLevel="0" collapsed="false">
      <c r="A11" s="3" t="n">
        <v>30</v>
      </c>
      <c r="B11" s="3" t="n">
        <v>20000</v>
      </c>
      <c r="C11" s="3" t="n">
        <v>720</v>
      </c>
      <c r="D11" s="3" t="n">
        <v>1064</v>
      </c>
      <c r="E11" s="3" t="n">
        <v>1064</v>
      </c>
      <c r="F11" s="3" t="n">
        <v>1064</v>
      </c>
      <c r="G11" s="3" t="n">
        <v>0</v>
      </c>
    </row>
    <row r="12" customFormat="false" ht="15" hidden="false" customHeight="false" outlineLevel="0" collapsed="false">
      <c r="A12" s="3" t="n">
        <v>60</v>
      </c>
      <c r="B12" s="3" t="n">
        <v>60</v>
      </c>
      <c r="C12" s="3" t="n">
        <v>1440</v>
      </c>
      <c r="D12" s="3" t="n">
        <v>1960</v>
      </c>
      <c r="E12" s="3" t="n">
        <v>1960</v>
      </c>
      <c r="F12" s="3" t="n">
        <v>1960</v>
      </c>
      <c r="G12" s="3" t="n">
        <v>0</v>
      </c>
    </row>
    <row r="13" customFormat="false" ht="15" hidden="false" customHeight="false" outlineLevel="0" collapsed="false">
      <c r="A13" s="3" t="n">
        <v>60</v>
      </c>
      <c r="B13" s="3" t="n">
        <v>1000</v>
      </c>
      <c r="C13" s="3" t="n">
        <v>1440</v>
      </c>
      <c r="D13" s="3" t="n">
        <v>1960</v>
      </c>
      <c r="E13" s="3" t="n">
        <v>1960</v>
      </c>
      <c r="F13" s="3" t="n">
        <v>1960</v>
      </c>
      <c r="G13" s="3" t="n">
        <v>0</v>
      </c>
    </row>
    <row r="14" customFormat="false" ht="15" hidden="false" customHeight="false" outlineLevel="0" collapsed="false">
      <c r="A14" s="3" t="n">
        <v>60</v>
      </c>
      <c r="B14" s="3" t="n">
        <v>5000</v>
      </c>
      <c r="C14" s="3" t="n">
        <v>1440</v>
      </c>
      <c r="D14" s="3" t="n">
        <v>1960</v>
      </c>
      <c r="E14" s="3" t="n">
        <v>1960</v>
      </c>
      <c r="F14" s="3" t="n">
        <v>1960</v>
      </c>
      <c r="G14" s="3" t="n">
        <v>0</v>
      </c>
    </row>
    <row r="15" customFormat="false" ht="15" hidden="false" customHeight="false" outlineLevel="0" collapsed="false">
      <c r="A15" s="3" t="n">
        <v>60</v>
      </c>
      <c r="B15" s="3" t="n">
        <v>10000</v>
      </c>
      <c r="C15" s="3" t="n">
        <v>1440</v>
      </c>
      <c r="D15" s="3" t="n">
        <v>1960</v>
      </c>
      <c r="E15" s="3" t="n">
        <v>1960</v>
      </c>
      <c r="F15" s="3" t="n">
        <v>1960</v>
      </c>
      <c r="G15" s="3" t="n">
        <v>0</v>
      </c>
    </row>
    <row r="16" customFormat="false" ht="15" hidden="false" customHeight="false" outlineLevel="0" collapsed="false">
      <c r="A16" s="3" t="n">
        <v>60</v>
      </c>
      <c r="B16" s="3" t="n">
        <v>20000</v>
      </c>
      <c r="C16" s="3" t="n">
        <v>1440</v>
      </c>
      <c r="D16" s="3" t="n">
        <v>1960</v>
      </c>
      <c r="E16" s="3" t="n">
        <v>1960</v>
      </c>
      <c r="F16" s="3" t="n">
        <v>1960</v>
      </c>
      <c r="G16" s="3" t="n">
        <v>0</v>
      </c>
    </row>
    <row r="17" customFormat="false" ht="15" hidden="false" customHeight="false" outlineLevel="0" collapsed="false">
      <c r="A17" s="3" t="n">
        <v>120</v>
      </c>
      <c r="B17" s="3" t="n">
        <v>120</v>
      </c>
      <c r="C17" s="3" t="n">
        <v>2880</v>
      </c>
      <c r="D17" s="3" t="n">
        <v>3752</v>
      </c>
      <c r="E17" s="3" t="n">
        <v>3752</v>
      </c>
      <c r="F17" s="3" t="n">
        <v>3752</v>
      </c>
      <c r="G17" s="3" t="n">
        <v>0</v>
      </c>
    </row>
    <row r="18" customFormat="false" ht="15" hidden="false" customHeight="false" outlineLevel="0" collapsed="false">
      <c r="A18" s="3" t="n">
        <v>120</v>
      </c>
      <c r="B18" s="3" t="n">
        <v>1000</v>
      </c>
      <c r="C18" s="3" t="n">
        <v>2880</v>
      </c>
      <c r="D18" s="3" t="n">
        <v>3752</v>
      </c>
      <c r="E18" s="3" t="n">
        <v>3752</v>
      </c>
      <c r="F18" s="3" t="n">
        <v>3752</v>
      </c>
      <c r="G18" s="3" t="n">
        <v>0</v>
      </c>
    </row>
    <row r="19" customFormat="false" ht="15" hidden="false" customHeight="false" outlineLevel="0" collapsed="false">
      <c r="A19" s="3" t="n">
        <v>120</v>
      </c>
      <c r="B19" s="3" t="n">
        <v>5000</v>
      </c>
      <c r="C19" s="3" t="n">
        <v>2880</v>
      </c>
      <c r="D19" s="3" t="n">
        <v>3752</v>
      </c>
      <c r="E19" s="3" t="n">
        <v>3752</v>
      </c>
      <c r="F19" s="3" t="n">
        <v>3752</v>
      </c>
      <c r="G19" s="3" t="n">
        <v>0</v>
      </c>
    </row>
    <row r="20" customFormat="false" ht="15" hidden="false" customHeight="false" outlineLevel="0" collapsed="false">
      <c r="A20" s="3" t="n">
        <v>120</v>
      </c>
      <c r="B20" s="3" t="n">
        <v>10000</v>
      </c>
      <c r="C20" s="3" t="n">
        <v>2880</v>
      </c>
      <c r="D20" s="3" t="n">
        <v>3752</v>
      </c>
      <c r="E20" s="3" t="n">
        <v>3752</v>
      </c>
      <c r="F20" s="3" t="n">
        <v>3752</v>
      </c>
      <c r="G20" s="3" t="n">
        <v>0</v>
      </c>
    </row>
    <row r="21" customFormat="false" ht="15" hidden="false" customHeight="false" outlineLevel="0" collapsed="false">
      <c r="A21" s="3" t="n">
        <v>120</v>
      </c>
      <c r="B21" s="3" t="n">
        <v>20000</v>
      </c>
      <c r="C21" s="3" t="n">
        <v>2880</v>
      </c>
      <c r="D21" s="3" t="n">
        <v>3752</v>
      </c>
      <c r="E21" s="3" t="n">
        <v>3752</v>
      </c>
      <c r="F21" s="3" t="n">
        <v>3752</v>
      </c>
      <c r="G21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1"/>
    <col collapsed="false" customWidth="true" hidden="false" outlineLevel="0" max="4" min="3" style="0" width="10"/>
    <col collapsed="false" customWidth="true" hidden="false" outlineLevel="0" max="5" min="5" style="0" width="43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1" t="s">
        <v>201</v>
      </c>
      <c r="B1" s="1" t="s">
        <v>175</v>
      </c>
      <c r="C1" s="1" t="s">
        <v>145</v>
      </c>
      <c r="D1" s="1" t="s">
        <v>195</v>
      </c>
      <c r="E1" s="1" t="s">
        <v>16</v>
      </c>
      <c r="F1" s="1" t="s">
        <v>116</v>
      </c>
      <c r="G1" s="1" t="s">
        <v>117</v>
      </c>
      <c r="H1" s="1" t="s">
        <v>118</v>
      </c>
    </row>
    <row r="2" customFormat="false" ht="15" hidden="false" customHeight="false" outlineLevel="0" collapsed="false">
      <c r="A2" s="3" t="s">
        <v>202</v>
      </c>
      <c r="B2" s="3" t="s">
        <v>203</v>
      </c>
      <c r="C2" s="3" t="n">
        <v>10</v>
      </c>
      <c r="D2" s="3" t="n">
        <v>20</v>
      </c>
      <c r="E2" s="3" t="s">
        <v>204</v>
      </c>
      <c r="F2" s="3" t="s">
        <v>129</v>
      </c>
      <c r="G2" s="3" t="s">
        <v>205</v>
      </c>
      <c r="H2" s="3"/>
    </row>
    <row r="3" customFormat="false" ht="15" hidden="false" customHeight="false" outlineLevel="0" collapsed="false">
      <c r="A3" s="3" t="s">
        <v>202</v>
      </c>
      <c r="B3" s="3" t="s">
        <v>203</v>
      </c>
      <c r="C3" s="3" t="n">
        <v>10</v>
      </c>
      <c r="D3" s="3" t="n">
        <v>20</v>
      </c>
      <c r="E3" s="3" t="s">
        <v>206</v>
      </c>
      <c r="F3" s="3" t="s">
        <v>129</v>
      </c>
      <c r="G3" s="3" t="s">
        <v>205</v>
      </c>
      <c r="H3" s="3"/>
    </row>
    <row r="4" customFormat="false" ht="15" hidden="false" customHeight="false" outlineLevel="0" collapsed="false">
      <c r="A4" s="3" t="s">
        <v>202</v>
      </c>
      <c r="B4" s="3" t="s">
        <v>203</v>
      </c>
      <c r="C4" s="3" t="n">
        <v>10</v>
      </c>
      <c r="D4" s="3" t="n">
        <v>20</v>
      </c>
      <c r="E4" s="3" t="s">
        <v>207</v>
      </c>
      <c r="F4" s="3" t="s">
        <v>129</v>
      </c>
      <c r="G4" s="3" t="s">
        <v>205</v>
      </c>
      <c r="H4" s="3"/>
    </row>
    <row r="5" customFormat="false" ht="15" hidden="false" customHeight="false" outlineLevel="0" collapsed="false">
      <c r="A5" s="3" t="s">
        <v>202</v>
      </c>
      <c r="B5" s="3" t="s">
        <v>203</v>
      </c>
      <c r="C5" s="3" t="n">
        <v>10</v>
      </c>
      <c r="D5" s="3" t="n">
        <v>20</v>
      </c>
      <c r="E5" s="3" t="s">
        <v>208</v>
      </c>
      <c r="F5" s="3" t="s">
        <v>129</v>
      </c>
      <c r="G5" s="3" t="s">
        <v>205</v>
      </c>
      <c r="H5" s="3"/>
    </row>
    <row r="6" customFormat="false" ht="15" hidden="false" customHeight="false" outlineLevel="0" collapsed="false">
      <c r="A6" s="3" t="s">
        <v>202</v>
      </c>
      <c r="B6" s="3" t="s">
        <v>203</v>
      </c>
      <c r="C6" s="3" t="n">
        <v>10</v>
      </c>
      <c r="D6" s="3" t="n">
        <v>20</v>
      </c>
      <c r="E6" s="3" t="s">
        <v>209</v>
      </c>
      <c r="F6" s="3" t="s">
        <v>129</v>
      </c>
      <c r="G6" s="3" t="s">
        <v>205</v>
      </c>
      <c r="H6" s="3"/>
    </row>
    <row r="7" customFormat="false" ht="15" hidden="false" customHeight="false" outlineLevel="0" collapsed="false">
      <c r="A7" s="3" t="s">
        <v>202</v>
      </c>
      <c r="B7" s="3" t="s">
        <v>203</v>
      </c>
      <c r="C7" s="3" t="n">
        <v>30</v>
      </c>
      <c r="D7" s="3" t="n">
        <v>60</v>
      </c>
      <c r="E7" s="3" t="s">
        <v>204</v>
      </c>
      <c r="F7" s="3" t="s">
        <v>129</v>
      </c>
      <c r="G7" s="3" t="s">
        <v>205</v>
      </c>
      <c r="H7" s="3"/>
    </row>
    <row r="8" customFormat="false" ht="15" hidden="false" customHeight="false" outlineLevel="0" collapsed="false">
      <c r="A8" s="3" t="s">
        <v>202</v>
      </c>
      <c r="B8" s="3" t="s">
        <v>203</v>
      </c>
      <c r="C8" s="3" t="n">
        <v>30</v>
      </c>
      <c r="D8" s="3" t="n">
        <v>60</v>
      </c>
      <c r="E8" s="3" t="s">
        <v>206</v>
      </c>
      <c r="F8" s="3" t="s">
        <v>129</v>
      </c>
      <c r="G8" s="3" t="s">
        <v>205</v>
      </c>
      <c r="H8" s="3"/>
    </row>
    <row r="9" customFormat="false" ht="15" hidden="false" customHeight="false" outlineLevel="0" collapsed="false">
      <c r="A9" s="3" t="s">
        <v>202</v>
      </c>
      <c r="B9" s="3" t="s">
        <v>203</v>
      </c>
      <c r="C9" s="3" t="n">
        <v>30</v>
      </c>
      <c r="D9" s="3" t="n">
        <v>60</v>
      </c>
      <c r="E9" s="3" t="s">
        <v>207</v>
      </c>
      <c r="F9" s="3" t="s">
        <v>129</v>
      </c>
      <c r="G9" s="3" t="s">
        <v>205</v>
      </c>
      <c r="H9" s="3"/>
    </row>
    <row r="10" customFormat="false" ht="15" hidden="false" customHeight="false" outlineLevel="0" collapsed="false">
      <c r="A10" s="3" t="s">
        <v>202</v>
      </c>
      <c r="B10" s="3" t="s">
        <v>203</v>
      </c>
      <c r="C10" s="3" t="n">
        <v>30</v>
      </c>
      <c r="D10" s="3" t="n">
        <v>60</v>
      </c>
      <c r="E10" s="3" t="s">
        <v>208</v>
      </c>
      <c r="F10" s="3" t="s">
        <v>129</v>
      </c>
      <c r="G10" s="3" t="s">
        <v>205</v>
      </c>
      <c r="H10" s="3"/>
    </row>
    <row r="11" customFormat="false" ht="15" hidden="false" customHeight="false" outlineLevel="0" collapsed="false">
      <c r="A11" s="3" t="s">
        <v>202</v>
      </c>
      <c r="B11" s="3" t="s">
        <v>203</v>
      </c>
      <c r="C11" s="3" t="n">
        <v>30</v>
      </c>
      <c r="D11" s="3" t="n">
        <v>60</v>
      </c>
      <c r="E11" s="3" t="s">
        <v>209</v>
      </c>
      <c r="F11" s="3" t="s">
        <v>129</v>
      </c>
      <c r="G11" s="3" t="s">
        <v>205</v>
      </c>
      <c r="H11" s="3"/>
    </row>
    <row r="12" customFormat="false" ht="15" hidden="false" customHeight="false" outlineLevel="0" collapsed="false">
      <c r="A12" s="3" t="s">
        <v>202</v>
      </c>
      <c r="B12" s="3" t="s">
        <v>203</v>
      </c>
      <c r="C12" s="3" t="n">
        <v>60</v>
      </c>
      <c r="D12" s="3" t="n">
        <v>120</v>
      </c>
      <c r="E12" s="3" t="s">
        <v>204</v>
      </c>
      <c r="F12" s="3" t="s">
        <v>129</v>
      </c>
      <c r="G12" s="3" t="s">
        <v>205</v>
      </c>
      <c r="H12" s="3"/>
    </row>
    <row r="13" customFormat="false" ht="15" hidden="false" customHeight="false" outlineLevel="0" collapsed="false">
      <c r="A13" s="3" t="s">
        <v>202</v>
      </c>
      <c r="B13" s="3" t="s">
        <v>203</v>
      </c>
      <c r="C13" s="3" t="n">
        <v>60</v>
      </c>
      <c r="D13" s="3" t="n">
        <v>120</v>
      </c>
      <c r="E13" s="3" t="s">
        <v>206</v>
      </c>
      <c r="F13" s="3" t="s">
        <v>129</v>
      </c>
      <c r="G13" s="3" t="s">
        <v>205</v>
      </c>
      <c r="H13" s="3"/>
    </row>
    <row r="14" customFormat="false" ht="15" hidden="false" customHeight="false" outlineLevel="0" collapsed="false">
      <c r="A14" s="3" t="s">
        <v>202</v>
      </c>
      <c r="B14" s="3" t="s">
        <v>203</v>
      </c>
      <c r="C14" s="3" t="n">
        <v>60</v>
      </c>
      <c r="D14" s="3" t="n">
        <v>120</v>
      </c>
      <c r="E14" s="3" t="s">
        <v>207</v>
      </c>
      <c r="F14" s="3" t="s">
        <v>129</v>
      </c>
      <c r="G14" s="3" t="s">
        <v>205</v>
      </c>
      <c r="H14" s="3"/>
    </row>
    <row r="15" customFormat="false" ht="15" hidden="false" customHeight="false" outlineLevel="0" collapsed="false">
      <c r="A15" s="3" t="s">
        <v>202</v>
      </c>
      <c r="B15" s="3" t="s">
        <v>203</v>
      </c>
      <c r="C15" s="3" t="n">
        <v>60</v>
      </c>
      <c r="D15" s="3" t="n">
        <v>120</v>
      </c>
      <c r="E15" s="3" t="s">
        <v>208</v>
      </c>
      <c r="F15" s="3" t="s">
        <v>129</v>
      </c>
      <c r="G15" s="3" t="s">
        <v>205</v>
      </c>
      <c r="H15" s="3"/>
    </row>
    <row r="16" customFormat="false" ht="15" hidden="false" customHeight="false" outlineLevel="0" collapsed="false">
      <c r="A16" s="3" t="s">
        <v>202</v>
      </c>
      <c r="B16" s="3" t="s">
        <v>203</v>
      </c>
      <c r="C16" s="3" t="n">
        <v>60</v>
      </c>
      <c r="D16" s="3" t="n">
        <v>120</v>
      </c>
      <c r="E16" s="3" t="s">
        <v>209</v>
      </c>
      <c r="F16" s="3" t="s">
        <v>129</v>
      </c>
      <c r="G16" s="3" t="s">
        <v>205</v>
      </c>
      <c r="H16" s="3"/>
    </row>
    <row r="17" customFormat="false" ht="15" hidden="false" customHeight="false" outlineLevel="0" collapsed="false">
      <c r="A17" s="3" t="s">
        <v>202</v>
      </c>
      <c r="B17" s="3" t="s">
        <v>203</v>
      </c>
      <c r="C17" s="3" t="n">
        <v>120</v>
      </c>
      <c r="D17" s="3" t="n">
        <v>240</v>
      </c>
      <c r="E17" s="3" t="s">
        <v>204</v>
      </c>
      <c r="F17" s="3" t="s">
        <v>129</v>
      </c>
      <c r="G17" s="3" t="s">
        <v>205</v>
      </c>
      <c r="H17" s="3"/>
    </row>
    <row r="18" customFormat="false" ht="15" hidden="false" customHeight="false" outlineLevel="0" collapsed="false">
      <c r="A18" s="3" t="s">
        <v>202</v>
      </c>
      <c r="B18" s="3" t="s">
        <v>203</v>
      </c>
      <c r="C18" s="3" t="n">
        <v>120</v>
      </c>
      <c r="D18" s="3" t="n">
        <v>240</v>
      </c>
      <c r="E18" s="3" t="s">
        <v>206</v>
      </c>
      <c r="F18" s="3" t="s">
        <v>129</v>
      </c>
      <c r="G18" s="3" t="s">
        <v>205</v>
      </c>
      <c r="H18" s="3"/>
    </row>
    <row r="19" customFormat="false" ht="15" hidden="false" customHeight="false" outlineLevel="0" collapsed="false">
      <c r="A19" s="3" t="s">
        <v>202</v>
      </c>
      <c r="B19" s="3" t="s">
        <v>203</v>
      </c>
      <c r="C19" s="3" t="n">
        <v>120</v>
      </c>
      <c r="D19" s="3" t="n">
        <v>240</v>
      </c>
      <c r="E19" s="3" t="s">
        <v>207</v>
      </c>
      <c r="F19" s="3" t="s">
        <v>129</v>
      </c>
      <c r="G19" s="3" t="s">
        <v>205</v>
      </c>
      <c r="H19" s="3"/>
    </row>
    <row r="20" customFormat="false" ht="15" hidden="false" customHeight="false" outlineLevel="0" collapsed="false">
      <c r="A20" s="3" t="s">
        <v>202</v>
      </c>
      <c r="B20" s="3" t="s">
        <v>203</v>
      </c>
      <c r="C20" s="3" t="n">
        <v>120</v>
      </c>
      <c r="D20" s="3" t="n">
        <v>240</v>
      </c>
      <c r="E20" s="3" t="s">
        <v>208</v>
      </c>
      <c r="F20" s="3" t="s">
        <v>129</v>
      </c>
      <c r="G20" s="3" t="s">
        <v>205</v>
      </c>
      <c r="H20" s="3"/>
    </row>
    <row r="21" customFormat="false" ht="15" hidden="false" customHeight="false" outlineLevel="0" collapsed="false">
      <c r="A21" s="3" t="s">
        <v>202</v>
      </c>
      <c r="B21" s="3" t="s">
        <v>203</v>
      </c>
      <c r="C21" s="3" t="n">
        <v>120</v>
      </c>
      <c r="D21" s="3" t="n">
        <v>240</v>
      </c>
      <c r="E21" s="3" t="s">
        <v>209</v>
      </c>
      <c r="F21" s="3" t="s">
        <v>129</v>
      </c>
      <c r="G21" s="3" t="s">
        <v>205</v>
      </c>
      <c r="H21" s="3"/>
    </row>
    <row r="22" customFormat="false" ht="15" hidden="false" customHeight="false" outlineLevel="0" collapsed="false">
      <c r="A22" s="3" t="s">
        <v>202</v>
      </c>
      <c r="B22" s="3"/>
      <c r="C22" s="3"/>
      <c r="D22" s="3"/>
      <c r="E22" s="3" t="s">
        <v>210</v>
      </c>
      <c r="F22" s="3" t="s">
        <v>129</v>
      </c>
      <c r="G22" s="3" t="s">
        <v>205</v>
      </c>
      <c r="H22" s="3"/>
    </row>
    <row r="23" customFormat="false" ht="15" hidden="false" customHeight="false" outlineLevel="0" collapsed="false">
      <c r="A23" s="3" t="s">
        <v>202</v>
      </c>
      <c r="B23" s="3"/>
      <c r="C23" s="3"/>
      <c r="D23" s="3"/>
      <c r="E23" s="3" t="s">
        <v>211</v>
      </c>
      <c r="F23" s="3"/>
      <c r="G23" s="3" t="s">
        <v>212</v>
      </c>
      <c r="H23" s="3" t="s">
        <v>213</v>
      </c>
    </row>
    <row r="24" customFormat="false" ht="15" hidden="false" customHeight="false" outlineLevel="0" collapsed="false">
      <c r="A24" s="3" t="s">
        <v>202</v>
      </c>
      <c r="B24" s="3"/>
      <c r="C24" s="3"/>
      <c r="D24" s="3"/>
      <c r="E24" s="3" t="s">
        <v>214</v>
      </c>
      <c r="F24" s="3" t="s">
        <v>205</v>
      </c>
      <c r="G24" s="3" t="s">
        <v>215</v>
      </c>
      <c r="H24" s="3" t="s">
        <v>216</v>
      </c>
    </row>
    <row r="25" customFormat="false" ht="15" hidden="false" customHeight="false" outlineLevel="0" collapsed="false">
      <c r="A25" s="3" t="s">
        <v>217</v>
      </c>
      <c r="B25" s="3"/>
      <c r="C25" s="3"/>
      <c r="D25" s="3"/>
      <c r="E25" s="3" t="s">
        <v>218</v>
      </c>
      <c r="F25" s="3" t="s">
        <v>219</v>
      </c>
      <c r="G25" s="3" t="s">
        <v>205</v>
      </c>
      <c r="H25" s="3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5"/>
    <col collapsed="false" customWidth="true" hidden="false" outlineLevel="0" max="10" min="4" style="0" width="10"/>
  </cols>
  <sheetData>
    <row r="1" customFormat="false" ht="15" hidden="false" customHeight="false" outlineLevel="0" collapsed="false">
      <c r="A1" s="1" t="s">
        <v>221</v>
      </c>
      <c r="B1" s="1" t="s">
        <v>136</v>
      </c>
      <c r="C1" s="1" t="s">
        <v>82</v>
      </c>
      <c r="D1" s="1" t="n">
        <v>1</v>
      </c>
      <c r="E1" s="1" t="n">
        <v>5</v>
      </c>
      <c r="F1" s="1" t="n">
        <v>10</v>
      </c>
      <c r="G1" s="1" t="n">
        <v>20</v>
      </c>
      <c r="H1" s="1" t="n">
        <v>50</v>
      </c>
      <c r="I1" s="1" t="n">
        <v>100</v>
      </c>
      <c r="J1" s="1" t="n">
        <v>1000</v>
      </c>
    </row>
    <row r="2" customFormat="false" ht="15" hidden="false" customHeight="false" outlineLevel="0" collapsed="false">
      <c r="A2" s="3" t="s">
        <v>222</v>
      </c>
      <c r="B2" s="3" t="s">
        <v>142</v>
      </c>
      <c r="C2" s="3" t="s">
        <v>223</v>
      </c>
      <c r="D2" s="3" t="n">
        <v>0</v>
      </c>
      <c r="E2" s="3" t="n">
        <v>0.9635</v>
      </c>
      <c r="F2" s="3" t="n">
        <v>0.9975</v>
      </c>
      <c r="G2" s="3" t="n">
        <v>1</v>
      </c>
      <c r="H2" s="3" t="n">
        <v>1</v>
      </c>
      <c r="I2" s="3" t="n">
        <v>1</v>
      </c>
      <c r="J2" s="3" t="n">
        <v>1</v>
      </c>
    </row>
    <row r="3" customFormat="false" ht="15" hidden="false" customHeight="false" outlineLevel="0" collapsed="false">
      <c r="A3" s="3" t="s">
        <v>222</v>
      </c>
      <c r="B3" s="3" t="s">
        <v>142</v>
      </c>
      <c r="C3" s="3" t="s">
        <v>104</v>
      </c>
      <c r="D3" s="3" t="n">
        <v>0</v>
      </c>
      <c r="E3" s="3" t="n">
        <v>0.605</v>
      </c>
      <c r="F3" s="3" t="n">
        <v>0.989</v>
      </c>
      <c r="G3" s="3" t="n">
        <v>0.999</v>
      </c>
      <c r="H3" s="3" t="n">
        <v>1</v>
      </c>
      <c r="I3" s="3" t="n">
        <v>1</v>
      </c>
      <c r="J3" s="3" t="n">
        <v>1</v>
      </c>
    </row>
    <row r="4" customFormat="false" ht="15" hidden="false" customHeight="false" outlineLevel="0" collapsed="false">
      <c r="A4" s="3" t="s">
        <v>222</v>
      </c>
      <c r="B4" s="3" t="s">
        <v>142</v>
      </c>
      <c r="C4" s="3" t="s">
        <v>224</v>
      </c>
      <c r="D4" s="3" t="n">
        <v>0.396</v>
      </c>
      <c r="E4" s="3" t="n">
        <v>0.999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</row>
    <row r="5" customFormat="false" ht="15" hidden="false" customHeight="false" outlineLevel="0" collapsed="false">
      <c r="A5" s="3" t="s">
        <v>225</v>
      </c>
      <c r="B5" s="3" t="s">
        <v>142</v>
      </c>
      <c r="C5" s="3" t="s">
        <v>223</v>
      </c>
      <c r="D5" s="3" t="n">
        <v>0.522</v>
      </c>
      <c r="E5" s="3" t="n">
        <v>0.9995</v>
      </c>
      <c r="F5" s="3" t="n">
        <v>1</v>
      </c>
      <c r="G5" s="3" t="n">
        <v>1</v>
      </c>
      <c r="H5" s="3" t="n">
        <v>1</v>
      </c>
      <c r="I5" s="3" t="n">
        <v>1</v>
      </c>
      <c r="J5" s="3" t="n">
        <v>1</v>
      </c>
    </row>
    <row r="6" customFormat="false" ht="15" hidden="false" customHeight="false" outlineLevel="0" collapsed="false">
      <c r="A6" s="3" t="s">
        <v>225</v>
      </c>
      <c r="B6" s="3" t="s">
        <v>142</v>
      </c>
      <c r="C6" s="3" t="s">
        <v>104</v>
      </c>
      <c r="D6" s="3" t="n">
        <v>0.4505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</row>
    <row r="7" customFormat="false" ht="15" hidden="false" customHeight="false" outlineLevel="0" collapsed="false">
      <c r="A7" s="3" t="s">
        <v>225</v>
      </c>
      <c r="B7" s="3" t="s">
        <v>142</v>
      </c>
      <c r="C7" s="3" t="s">
        <v>224</v>
      </c>
      <c r="D7" s="3" t="n">
        <v>0.9945</v>
      </c>
      <c r="E7" s="3" t="n">
        <v>1</v>
      </c>
      <c r="F7" s="3" t="n">
        <v>1</v>
      </c>
      <c r="G7" s="3" t="n">
        <v>1</v>
      </c>
      <c r="H7" s="3" t="n">
        <v>1</v>
      </c>
      <c r="I7" s="3" t="n">
        <v>1</v>
      </c>
      <c r="J7" s="3" t="n">
        <v>1</v>
      </c>
    </row>
    <row r="8" customFormat="false" ht="15" hidden="false" customHeight="false" outlineLevel="0" collapsed="false">
      <c r="A8" s="3" t="s">
        <v>226</v>
      </c>
      <c r="B8" s="3" t="s">
        <v>143</v>
      </c>
      <c r="C8" s="3" t="s">
        <v>223</v>
      </c>
      <c r="D8" s="3" t="n">
        <v>0</v>
      </c>
      <c r="E8" s="3" t="n">
        <v>0.058</v>
      </c>
      <c r="F8" s="3" t="n">
        <v>0.9785</v>
      </c>
      <c r="G8" s="3" t="n">
        <v>1</v>
      </c>
      <c r="H8" s="3" t="n">
        <v>1</v>
      </c>
      <c r="I8" s="3" t="n">
        <v>1</v>
      </c>
      <c r="J8" s="3" t="n">
        <v>1</v>
      </c>
    </row>
    <row r="9" customFormat="false" ht="15" hidden="false" customHeight="false" outlineLevel="0" collapsed="false">
      <c r="A9" s="3" t="s">
        <v>226</v>
      </c>
      <c r="B9" s="3" t="s">
        <v>143</v>
      </c>
      <c r="C9" s="3" t="s">
        <v>104</v>
      </c>
      <c r="D9" s="3" t="n">
        <v>0</v>
      </c>
      <c r="E9" s="3" t="n">
        <v>0.021</v>
      </c>
      <c r="F9" s="3" t="n">
        <v>0.7775</v>
      </c>
      <c r="G9" s="3" t="n">
        <v>0.993</v>
      </c>
      <c r="H9" s="3" t="n">
        <v>1</v>
      </c>
      <c r="I9" s="3" t="n">
        <v>1</v>
      </c>
      <c r="J9" s="3" t="n">
        <v>1</v>
      </c>
    </row>
    <row r="10" customFormat="false" ht="15" hidden="false" customHeight="false" outlineLevel="0" collapsed="false">
      <c r="A10" s="3" t="s">
        <v>226</v>
      </c>
      <c r="B10" s="3" t="s">
        <v>143</v>
      </c>
      <c r="C10" s="3" t="s">
        <v>224</v>
      </c>
      <c r="D10" s="3" t="n">
        <v>0</v>
      </c>
      <c r="E10" s="3" t="n">
        <v>0.7895</v>
      </c>
      <c r="F10" s="3" t="n">
        <v>0.987</v>
      </c>
      <c r="G10" s="3" t="n">
        <v>0.9985</v>
      </c>
      <c r="H10" s="3" t="n">
        <v>1</v>
      </c>
      <c r="I10" s="3" t="n">
        <v>1</v>
      </c>
      <c r="J10" s="3" t="n">
        <v>1</v>
      </c>
    </row>
    <row r="11" customFormat="false" ht="15" hidden="false" customHeight="false" outlineLevel="0" collapsed="false">
      <c r="A11" s="3" t="s">
        <v>227</v>
      </c>
      <c r="B11" s="3" t="s">
        <v>143</v>
      </c>
      <c r="C11" s="3" t="s">
        <v>223</v>
      </c>
      <c r="D11" s="3" t="n">
        <v>0.116</v>
      </c>
      <c r="E11" s="3" t="n">
        <v>0.999</v>
      </c>
      <c r="F11" s="3" t="n">
        <v>1</v>
      </c>
      <c r="G11" s="3" t="n">
        <v>1</v>
      </c>
      <c r="H11" s="3" t="n">
        <v>1</v>
      </c>
      <c r="I11" s="3" t="n">
        <v>1</v>
      </c>
      <c r="J11" s="3" t="n">
        <v>1</v>
      </c>
    </row>
    <row r="12" customFormat="false" ht="15" hidden="false" customHeight="false" outlineLevel="0" collapsed="false">
      <c r="A12" s="3" t="s">
        <v>227</v>
      </c>
      <c r="B12" s="3" t="s">
        <v>143</v>
      </c>
      <c r="C12" s="3" t="s">
        <v>104</v>
      </c>
      <c r="D12" s="3" t="n">
        <v>0</v>
      </c>
      <c r="E12" s="3" t="n">
        <v>0.9995</v>
      </c>
      <c r="F12" s="3" t="n">
        <v>1</v>
      </c>
      <c r="G12" s="3" t="n">
        <v>1</v>
      </c>
      <c r="H12" s="3" t="n">
        <v>1</v>
      </c>
      <c r="I12" s="3" t="n">
        <v>1</v>
      </c>
      <c r="J12" s="3" t="n">
        <v>1</v>
      </c>
    </row>
    <row r="13" customFormat="false" ht="15" hidden="false" customHeight="false" outlineLevel="0" collapsed="false">
      <c r="A13" s="3" t="s">
        <v>227</v>
      </c>
      <c r="B13" s="3" t="s">
        <v>143</v>
      </c>
      <c r="C13" s="3" t="s">
        <v>224</v>
      </c>
      <c r="D13" s="3" t="n">
        <v>0.916</v>
      </c>
      <c r="E13" s="3" t="n">
        <v>1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1</v>
      </c>
    </row>
    <row r="14" customFormat="false" ht="15" hidden="false" customHeight="false" outlineLevel="0" collapsed="false">
      <c r="A14" s="3" t="s">
        <v>228</v>
      </c>
      <c r="B14" s="3" t="s">
        <v>144</v>
      </c>
      <c r="C14" s="3" t="s">
        <v>223</v>
      </c>
      <c r="D14" s="3" t="n">
        <v>0</v>
      </c>
      <c r="E14" s="3" t="n">
        <v>0.098</v>
      </c>
      <c r="F14" s="3" t="n">
        <v>0.9595</v>
      </c>
      <c r="G14" s="3" t="n">
        <v>0.992</v>
      </c>
      <c r="H14" s="3" t="n">
        <v>1</v>
      </c>
      <c r="I14" s="3" t="n">
        <v>1</v>
      </c>
      <c r="J14" s="3" t="n">
        <v>1</v>
      </c>
    </row>
    <row r="15" customFormat="false" ht="15" hidden="false" customHeight="false" outlineLevel="0" collapsed="false">
      <c r="A15" s="3" t="s">
        <v>228</v>
      </c>
      <c r="B15" s="3" t="s">
        <v>144</v>
      </c>
      <c r="C15" s="3" t="s">
        <v>104</v>
      </c>
      <c r="D15" s="3" t="n">
        <v>0</v>
      </c>
      <c r="E15" s="3" t="n">
        <v>0.0175</v>
      </c>
      <c r="F15" s="3" t="n">
        <v>0.9165</v>
      </c>
      <c r="G15" s="3" t="n">
        <v>0.9875</v>
      </c>
      <c r="H15" s="3" t="n">
        <v>0.9995</v>
      </c>
      <c r="I15" s="3" t="n">
        <v>0.9995</v>
      </c>
      <c r="J15" s="3" t="n">
        <v>1</v>
      </c>
    </row>
    <row r="16" customFormat="false" ht="15" hidden="false" customHeight="false" outlineLevel="0" collapsed="false">
      <c r="A16" s="3" t="s">
        <v>228</v>
      </c>
      <c r="B16" s="3" t="s">
        <v>144</v>
      </c>
      <c r="C16" s="3" t="s">
        <v>224</v>
      </c>
      <c r="D16" s="3" t="n">
        <v>0</v>
      </c>
      <c r="E16" s="3" t="n">
        <v>0.9335</v>
      </c>
      <c r="F16" s="3" t="n">
        <v>0.9875</v>
      </c>
      <c r="G16" s="3" t="n">
        <v>0.998</v>
      </c>
      <c r="H16" s="3" t="n">
        <v>1</v>
      </c>
      <c r="I16" s="3" t="n">
        <v>1</v>
      </c>
      <c r="J16" s="3" t="n">
        <v>1</v>
      </c>
    </row>
    <row r="17" customFormat="false" ht="15" hidden="false" customHeight="false" outlineLevel="0" collapsed="false">
      <c r="A17" s="3" t="s">
        <v>229</v>
      </c>
      <c r="B17" s="3" t="s">
        <v>144</v>
      </c>
      <c r="C17" s="3" t="s">
        <v>223</v>
      </c>
      <c r="D17" s="3" t="n">
        <v>0</v>
      </c>
      <c r="E17" s="3" t="n">
        <v>0.999</v>
      </c>
      <c r="F17" s="3" t="n">
        <v>1</v>
      </c>
      <c r="G17" s="3" t="n">
        <v>1</v>
      </c>
      <c r="H17" s="3" t="n">
        <v>1</v>
      </c>
      <c r="I17" s="3" t="n">
        <v>1</v>
      </c>
      <c r="J17" s="3" t="n">
        <v>1</v>
      </c>
    </row>
    <row r="18" customFormat="false" ht="15" hidden="false" customHeight="false" outlineLevel="0" collapsed="false">
      <c r="A18" s="3" t="s">
        <v>229</v>
      </c>
      <c r="B18" s="3" t="s">
        <v>144</v>
      </c>
      <c r="C18" s="3" t="s">
        <v>104</v>
      </c>
      <c r="D18" s="3" t="n">
        <v>0</v>
      </c>
      <c r="E18" s="3" t="n">
        <v>0.9995</v>
      </c>
      <c r="F18" s="3" t="n">
        <v>1</v>
      </c>
      <c r="G18" s="3" t="n">
        <v>1</v>
      </c>
      <c r="H18" s="3" t="n">
        <v>1</v>
      </c>
      <c r="I18" s="3" t="n">
        <v>1</v>
      </c>
      <c r="J18" s="3" t="n">
        <v>1</v>
      </c>
    </row>
    <row r="19" customFormat="false" ht="15" hidden="false" customHeight="false" outlineLevel="0" collapsed="false">
      <c r="A19" s="3" t="s">
        <v>229</v>
      </c>
      <c r="B19" s="3" t="s">
        <v>144</v>
      </c>
      <c r="C19" s="3" t="s">
        <v>224</v>
      </c>
      <c r="D19" s="3" t="n">
        <v>0.95</v>
      </c>
      <c r="E19" s="3" t="n">
        <v>0.998</v>
      </c>
      <c r="F19" s="3" t="n">
        <v>1</v>
      </c>
      <c r="G19" s="3" t="n">
        <v>1</v>
      </c>
      <c r="H19" s="3" t="n">
        <v>1</v>
      </c>
      <c r="I19" s="3" t="n">
        <v>1</v>
      </c>
      <c r="J19" s="3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230</v>
      </c>
      <c r="B1" s="1" t="s">
        <v>231</v>
      </c>
    </row>
    <row r="2" customFormat="false" ht="15" hidden="false" customHeight="false" outlineLevel="0" collapsed="false">
      <c r="A2" s="2" t="n">
        <v>1</v>
      </c>
      <c r="B2" s="2" t="s">
        <v>232</v>
      </c>
    </row>
    <row r="3" customFormat="false" ht="23.85" hidden="false" customHeight="false" outlineLevel="0" collapsed="false">
      <c r="A3" s="2" t="n">
        <v>2</v>
      </c>
      <c r="B3" s="2" t="s">
        <v>233</v>
      </c>
    </row>
    <row r="4" customFormat="false" ht="23.85" hidden="false" customHeight="false" outlineLevel="0" collapsed="false">
      <c r="A4" s="2" t="n">
        <v>3</v>
      </c>
      <c r="B4" s="2" t="s">
        <v>234</v>
      </c>
    </row>
    <row r="5" customFormat="false" ht="15" hidden="false" customHeight="false" outlineLevel="0" collapsed="false">
      <c r="A5" s="2" t="n">
        <v>4</v>
      </c>
      <c r="B5" s="2" t="s">
        <v>235</v>
      </c>
    </row>
    <row r="6" customFormat="false" ht="15" hidden="false" customHeight="false" outlineLevel="0" collapsed="false">
      <c r="A6" s="2" t="n">
        <v>5</v>
      </c>
      <c r="B6" s="2" t="s">
        <v>236</v>
      </c>
    </row>
    <row r="7" customFormat="false" ht="15" hidden="false" customHeight="false" outlineLevel="0" collapsed="false">
      <c r="A7" s="2" t="n">
        <v>6</v>
      </c>
      <c r="B7" s="2" t="s">
        <v>237</v>
      </c>
    </row>
    <row r="8" customFormat="false" ht="15" hidden="false" customHeight="false" outlineLevel="0" collapsed="false">
      <c r="A8" s="2" t="n">
        <v>7</v>
      </c>
      <c r="B8" s="2" t="s">
        <v>238</v>
      </c>
    </row>
    <row r="9" customFormat="false" ht="15" hidden="false" customHeight="false" outlineLevel="0" collapsed="false">
      <c r="A9" s="2" t="n">
        <v>8</v>
      </c>
      <c r="B9" s="2" t="s">
        <v>239</v>
      </c>
    </row>
    <row r="10" customFormat="false" ht="23.85" hidden="false" customHeight="false" outlineLevel="0" collapsed="false">
      <c r="A10" s="2" t="n">
        <v>9</v>
      </c>
      <c r="B10" s="2" t="s">
        <v>240</v>
      </c>
    </row>
    <row r="11" customFormat="false" ht="15" hidden="false" customHeight="false" outlineLevel="0" collapsed="false">
      <c r="A11" s="2" t="n">
        <v>10</v>
      </c>
      <c r="B11" s="2" t="s">
        <v>241</v>
      </c>
    </row>
    <row r="12" customFormat="false" ht="23.85" hidden="false" customHeight="false" outlineLevel="0" collapsed="false">
      <c r="A12" s="2" t="n">
        <v>11</v>
      </c>
      <c r="B12" s="2" t="s">
        <v>242</v>
      </c>
    </row>
    <row r="13" customFormat="false" ht="15" hidden="false" customHeight="false" outlineLevel="0" collapsed="false">
      <c r="A13" s="2" t="n">
        <v>12</v>
      </c>
      <c r="B13" s="2" t="s">
        <v>243</v>
      </c>
    </row>
    <row r="14" customFormat="false" ht="15" hidden="false" customHeight="false" outlineLevel="0" collapsed="false">
      <c r="A14" s="2" t="n">
        <v>13</v>
      </c>
      <c r="B14" s="2" t="s">
        <v>244</v>
      </c>
    </row>
    <row r="15" customFormat="false" ht="15" hidden="false" customHeight="false" outlineLevel="0" collapsed="false">
      <c r="A15" s="2" t="n">
        <v>14</v>
      </c>
      <c r="B15" s="2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2026-10-02T20:29:51Z</dcterms:created>
  <dc:creator>openpyxl</dc:creator>
  <dc:description/>
  <dc:language>en-US</dc:language>
  <cp:lastModifiedBy/>
  <dcterms:modified xsi:type="dcterms:W3CDTF">2026-10-02T20:29:51Z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